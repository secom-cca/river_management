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042CC446-C270-41EA-837C-0CC7687945C7}" xr6:coauthVersionLast="47" xr6:coauthVersionMax="47" xr10:uidLastSave="{00000000-0000-0000-0000-000000000000}"/>
  <bookViews>
    <workbookView xWindow="-105" yWindow="1770" windowWidth="21585" windowHeight="8760" xr2:uid="{D8F95CEF-DFCD-4E43-9F54-C36F1985E3B6}"/>
  </bookViews>
  <sheets>
    <sheet name="Sheet1" sheetId="1" r:id="rId1"/>
    <sheet name="Sheet2" sheetId="2" r:id="rId2"/>
    <sheet name="Sheet3" sheetId="3" r:id="rId3"/>
  </sheets>
  <definedNames>
    <definedName name="_xlchart.v1.0" hidden="1">Sheet2!$E$2:$E$366</definedName>
    <definedName name="_xlchart.v1.1" hidden="1">Sheet2!$I$1</definedName>
    <definedName name="_xlchart.v1.2" hidden="1">Sheet2!$I$2:$I$366</definedName>
    <definedName name="_xlchart.v1.3" hidden="1">Sheet1!$I$11:$I$375</definedName>
    <definedName name="_xlchart.v1.4" hidden="1">Sheet2!$B$2:$B$366</definedName>
    <definedName name="_xlchart.v1.5" hidden="1">Sheet2!$F$1</definedName>
    <definedName name="_xlchart.v1.6" hidden="1">Sheet2!$F$2:$F$366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11" i="1"/>
  <c r="E8" i="1"/>
  <c r="D8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11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2" i="2"/>
  <c r="B377" i="1"/>
  <c r="C377" i="1"/>
  <c r="B378" i="1"/>
  <c r="C378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2" i="2"/>
  <c r="B8" i="2"/>
  <c r="B9" i="2"/>
  <c r="B10" i="2"/>
  <c r="B11" i="2"/>
  <c r="B12" i="2"/>
  <c r="B13" i="2"/>
  <c r="B14" i="2"/>
  <c r="B15" i="2"/>
  <c r="B16" i="2"/>
  <c r="B17" i="2"/>
  <c r="B18" i="2"/>
  <c r="B32" i="2"/>
  <c r="B33" i="2"/>
  <c r="B34" i="2"/>
  <c r="B35" i="2"/>
  <c r="B36" i="2"/>
  <c r="B37" i="2"/>
  <c r="B38" i="2"/>
  <c r="B39" i="2"/>
  <c r="B40" i="2"/>
  <c r="B41" i="2"/>
  <c r="B42" i="2"/>
  <c r="B56" i="2"/>
  <c r="B57" i="2"/>
  <c r="B58" i="2"/>
  <c r="B59" i="2"/>
  <c r="B60" i="2"/>
  <c r="B61" i="2"/>
  <c r="B62" i="2"/>
  <c r="B63" i="2"/>
  <c r="B64" i="2"/>
  <c r="B65" i="2"/>
  <c r="B66" i="2"/>
  <c r="B80" i="2"/>
  <c r="B81" i="2"/>
  <c r="B82" i="2"/>
  <c r="B83" i="2"/>
  <c r="B84" i="2"/>
  <c r="B85" i="2"/>
  <c r="B86" i="2"/>
  <c r="B87" i="2"/>
  <c r="B88" i="2"/>
  <c r="B89" i="2"/>
  <c r="B90" i="2"/>
  <c r="B104" i="2"/>
  <c r="B105" i="2"/>
  <c r="B106" i="2"/>
  <c r="B107" i="2"/>
  <c r="B108" i="2"/>
  <c r="B109" i="2"/>
  <c r="B110" i="2"/>
  <c r="B111" i="2"/>
  <c r="B112" i="2"/>
  <c r="B113" i="2"/>
  <c r="B114" i="2"/>
  <c r="B128" i="2"/>
  <c r="B129" i="2"/>
  <c r="B130" i="2"/>
  <c r="B131" i="2"/>
  <c r="B132" i="2"/>
  <c r="B133" i="2"/>
  <c r="B134" i="2"/>
  <c r="B135" i="2"/>
  <c r="B136" i="2"/>
  <c r="B137" i="2"/>
  <c r="B138" i="2"/>
  <c r="B152" i="2"/>
  <c r="B153" i="2"/>
  <c r="B154" i="2"/>
  <c r="B155" i="2"/>
  <c r="B156" i="2"/>
  <c r="B157" i="2"/>
  <c r="B158" i="2"/>
  <c r="B159" i="2"/>
  <c r="B160" i="2"/>
  <c r="B161" i="2"/>
  <c r="B162" i="2"/>
  <c r="B176" i="2"/>
  <c r="B177" i="2"/>
  <c r="B178" i="2"/>
  <c r="B179" i="2"/>
  <c r="B180" i="2"/>
  <c r="B181" i="2"/>
  <c r="B182" i="2"/>
  <c r="B183" i="2"/>
  <c r="B184" i="2"/>
  <c r="B185" i="2"/>
  <c r="B186" i="2"/>
  <c r="B200" i="2"/>
  <c r="B201" i="2"/>
  <c r="B202" i="2"/>
  <c r="B203" i="2"/>
  <c r="B204" i="2"/>
  <c r="B205" i="2"/>
  <c r="B206" i="2"/>
  <c r="B207" i="2"/>
  <c r="B208" i="2"/>
  <c r="B209" i="2"/>
  <c r="B210" i="2"/>
  <c r="B224" i="2"/>
  <c r="B225" i="2"/>
  <c r="B226" i="2"/>
  <c r="B227" i="2"/>
  <c r="B228" i="2"/>
  <c r="B229" i="2"/>
  <c r="B230" i="2"/>
  <c r="B231" i="2"/>
  <c r="B232" i="2"/>
  <c r="B233" i="2"/>
  <c r="B234" i="2"/>
  <c r="B248" i="2"/>
  <c r="B249" i="2"/>
  <c r="B250" i="2"/>
  <c r="B251" i="2"/>
  <c r="B252" i="2"/>
  <c r="B253" i="2"/>
  <c r="B254" i="2"/>
  <c r="B255" i="2"/>
  <c r="B256" i="2"/>
  <c r="B257" i="2"/>
  <c r="B258" i="2"/>
  <c r="B272" i="2"/>
  <c r="B273" i="2"/>
  <c r="B274" i="2"/>
  <c r="B275" i="2"/>
  <c r="B276" i="2"/>
  <c r="B277" i="2"/>
  <c r="B278" i="2"/>
  <c r="B279" i="2"/>
  <c r="B280" i="2"/>
  <c r="B281" i="2"/>
  <c r="B282" i="2"/>
  <c r="B296" i="2"/>
  <c r="B297" i="2"/>
  <c r="B298" i="2"/>
  <c r="B299" i="2"/>
  <c r="B300" i="2"/>
  <c r="B301" i="2"/>
  <c r="B302" i="2"/>
  <c r="B303" i="2"/>
  <c r="B304" i="2"/>
  <c r="B305" i="2"/>
  <c r="B306" i="2"/>
  <c r="B320" i="2"/>
  <c r="B321" i="2"/>
  <c r="B322" i="2"/>
  <c r="B323" i="2"/>
  <c r="B324" i="2"/>
  <c r="B325" i="2"/>
  <c r="B326" i="2"/>
  <c r="B327" i="2"/>
  <c r="B328" i="2"/>
  <c r="B329" i="2"/>
  <c r="B330" i="2"/>
  <c r="B344" i="2"/>
  <c r="B345" i="2"/>
  <c r="B346" i="2"/>
  <c r="B347" i="2"/>
  <c r="B348" i="2"/>
  <c r="B349" i="2"/>
  <c r="B350" i="2"/>
  <c r="B351" i="2"/>
  <c r="B352" i="2"/>
  <c r="B353" i="2"/>
  <c r="B354" i="2"/>
  <c r="A366" i="2"/>
  <c r="B366" i="2" s="1"/>
  <c r="A365" i="2"/>
  <c r="B365" i="2" s="1"/>
  <c r="A364" i="2"/>
  <c r="B364" i="2" s="1"/>
  <c r="A363" i="2"/>
  <c r="B363" i="2" s="1"/>
  <c r="A362" i="2"/>
  <c r="B362" i="2" s="1"/>
  <c r="A361" i="2"/>
  <c r="B361" i="2" s="1"/>
  <c r="A360" i="2"/>
  <c r="B360" i="2" s="1"/>
  <c r="A359" i="2"/>
  <c r="B359" i="2" s="1"/>
  <c r="A358" i="2"/>
  <c r="B358" i="2" s="1"/>
  <c r="A357" i="2"/>
  <c r="B357" i="2" s="1"/>
  <c r="A356" i="2"/>
  <c r="B356" i="2" s="1"/>
  <c r="A355" i="2"/>
  <c r="B355" i="2" s="1"/>
  <c r="A354" i="2"/>
  <c r="A353" i="2"/>
  <c r="A352" i="2"/>
  <c r="A351" i="2"/>
  <c r="A350" i="2"/>
  <c r="A349" i="2"/>
  <c r="A348" i="2"/>
  <c r="A347" i="2"/>
  <c r="A346" i="2"/>
  <c r="A345" i="2"/>
  <c r="A344" i="2"/>
  <c r="A343" i="2"/>
  <c r="B343" i="2" s="1"/>
  <c r="A342" i="2"/>
  <c r="B342" i="2" s="1"/>
  <c r="A341" i="2"/>
  <c r="B341" i="2" s="1"/>
  <c r="A340" i="2"/>
  <c r="B340" i="2" s="1"/>
  <c r="A339" i="2"/>
  <c r="B339" i="2" s="1"/>
  <c r="A338" i="2"/>
  <c r="B338" i="2" s="1"/>
  <c r="A337" i="2"/>
  <c r="B337" i="2" s="1"/>
  <c r="A336" i="2"/>
  <c r="B336" i="2" s="1"/>
  <c r="A335" i="2"/>
  <c r="B335" i="2" s="1"/>
  <c r="A334" i="2"/>
  <c r="B334" i="2" s="1"/>
  <c r="A333" i="2"/>
  <c r="B333" i="2" s="1"/>
  <c r="A332" i="2"/>
  <c r="B332" i="2" s="1"/>
  <c r="A331" i="2"/>
  <c r="B331" i="2" s="1"/>
  <c r="A330" i="2"/>
  <c r="A329" i="2"/>
  <c r="A328" i="2"/>
  <c r="A327" i="2"/>
  <c r="A326" i="2"/>
  <c r="A325" i="2"/>
  <c r="A324" i="2"/>
  <c r="A323" i="2"/>
  <c r="A322" i="2"/>
  <c r="A321" i="2"/>
  <c r="A320" i="2"/>
  <c r="A319" i="2"/>
  <c r="B319" i="2" s="1"/>
  <c r="A318" i="2"/>
  <c r="B318" i="2" s="1"/>
  <c r="A317" i="2"/>
  <c r="B317" i="2" s="1"/>
  <c r="A316" i="2"/>
  <c r="B316" i="2" s="1"/>
  <c r="A315" i="2"/>
  <c r="B315" i="2" s="1"/>
  <c r="A314" i="2"/>
  <c r="B314" i="2" s="1"/>
  <c r="A313" i="2"/>
  <c r="B313" i="2" s="1"/>
  <c r="A312" i="2"/>
  <c r="B312" i="2" s="1"/>
  <c r="A311" i="2"/>
  <c r="B311" i="2" s="1"/>
  <c r="A310" i="2"/>
  <c r="B310" i="2" s="1"/>
  <c r="A309" i="2"/>
  <c r="B309" i="2" s="1"/>
  <c r="A308" i="2"/>
  <c r="B308" i="2" s="1"/>
  <c r="A307" i="2"/>
  <c r="B307" i="2" s="1"/>
  <c r="A306" i="2"/>
  <c r="A305" i="2"/>
  <c r="A304" i="2"/>
  <c r="A303" i="2"/>
  <c r="A302" i="2"/>
  <c r="A301" i="2"/>
  <c r="A300" i="2"/>
  <c r="A299" i="2"/>
  <c r="A298" i="2"/>
  <c r="A297" i="2"/>
  <c r="A296" i="2"/>
  <c r="A295" i="2"/>
  <c r="B295" i="2" s="1"/>
  <c r="A294" i="2"/>
  <c r="B294" i="2" s="1"/>
  <c r="A293" i="2"/>
  <c r="B293" i="2" s="1"/>
  <c r="A292" i="2"/>
  <c r="B292" i="2" s="1"/>
  <c r="A291" i="2"/>
  <c r="B291" i="2" s="1"/>
  <c r="A290" i="2"/>
  <c r="B290" i="2" s="1"/>
  <c r="A289" i="2"/>
  <c r="B289" i="2" s="1"/>
  <c r="A288" i="2"/>
  <c r="B288" i="2" s="1"/>
  <c r="A287" i="2"/>
  <c r="B287" i="2" s="1"/>
  <c r="A286" i="2"/>
  <c r="B286" i="2" s="1"/>
  <c r="A285" i="2"/>
  <c r="B285" i="2" s="1"/>
  <c r="A284" i="2"/>
  <c r="B284" i="2" s="1"/>
  <c r="A283" i="2"/>
  <c r="B283" i="2" s="1"/>
  <c r="A282" i="2"/>
  <c r="A281" i="2"/>
  <c r="A280" i="2"/>
  <c r="A279" i="2"/>
  <c r="A278" i="2"/>
  <c r="A277" i="2"/>
  <c r="A276" i="2"/>
  <c r="A275" i="2"/>
  <c r="A274" i="2"/>
  <c r="A273" i="2"/>
  <c r="A272" i="2"/>
  <c r="A271" i="2"/>
  <c r="B271" i="2" s="1"/>
  <c r="A270" i="2"/>
  <c r="B270" i="2" s="1"/>
  <c r="A269" i="2"/>
  <c r="B269" i="2" s="1"/>
  <c r="A268" i="2"/>
  <c r="B268" i="2" s="1"/>
  <c r="A267" i="2"/>
  <c r="B267" i="2" s="1"/>
  <c r="A266" i="2"/>
  <c r="B266" i="2" s="1"/>
  <c r="A265" i="2"/>
  <c r="B265" i="2" s="1"/>
  <c r="A264" i="2"/>
  <c r="B264" i="2" s="1"/>
  <c r="A263" i="2"/>
  <c r="B263" i="2" s="1"/>
  <c r="A262" i="2"/>
  <c r="B262" i="2" s="1"/>
  <c r="A261" i="2"/>
  <c r="B261" i="2" s="1"/>
  <c r="A260" i="2"/>
  <c r="B260" i="2" s="1"/>
  <c r="A259" i="2"/>
  <c r="B259" i="2" s="1"/>
  <c r="A258" i="2"/>
  <c r="A257" i="2"/>
  <c r="A256" i="2"/>
  <c r="A255" i="2"/>
  <c r="A254" i="2"/>
  <c r="A253" i="2"/>
  <c r="A252" i="2"/>
  <c r="A251" i="2"/>
  <c r="A250" i="2"/>
  <c r="A249" i="2"/>
  <c r="A248" i="2"/>
  <c r="A247" i="2"/>
  <c r="B247" i="2" s="1"/>
  <c r="A246" i="2"/>
  <c r="B246" i="2" s="1"/>
  <c r="A245" i="2"/>
  <c r="B245" i="2" s="1"/>
  <c r="A244" i="2"/>
  <c r="B244" i="2" s="1"/>
  <c r="A243" i="2"/>
  <c r="B243" i="2" s="1"/>
  <c r="A242" i="2"/>
  <c r="B242" i="2" s="1"/>
  <c r="A241" i="2"/>
  <c r="B241" i="2" s="1"/>
  <c r="A240" i="2"/>
  <c r="B240" i="2" s="1"/>
  <c r="A239" i="2"/>
  <c r="B239" i="2" s="1"/>
  <c r="A238" i="2"/>
  <c r="B238" i="2" s="1"/>
  <c r="A237" i="2"/>
  <c r="B237" i="2" s="1"/>
  <c r="A236" i="2"/>
  <c r="B236" i="2" s="1"/>
  <c r="A235" i="2"/>
  <c r="B235" i="2" s="1"/>
  <c r="A234" i="2"/>
  <c r="A233" i="2"/>
  <c r="A232" i="2"/>
  <c r="A231" i="2"/>
  <c r="A230" i="2"/>
  <c r="A229" i="2"/>
  <c r="A228" i="2"/>
  <c r="A227" i="2"/>
  <c r="A226" i="2"/>
  <c r="A225" i="2"/>
  <c r="A224" i="2"/>
  <c r="A223" i="2"/>
  <c r="B223" i="2" s="1"/>
  <c r="A222" i="2"/>
  <c r="B222" i="2" s="1"/>
  <c r="A221" i="2"/>
  <c r="B221" i="2" s="1"/>
  <c r="A220" i="2"/>
  <c r="B220" i="2" s="1"/>
  <c r="A219" i="2"/>
  <c r="B219" i="2" s="1"/>
  <c r="A218" i="2"/>
  <c r="B218" i="2" s="1"/>
  <c r="A217" i="2"/>
  <c r="B217" i="2" s="1"/>
  <c r="A216" i="2"/>
  <c r="B216" i="2" s="1"/>
  <c r="A215" i="2"/>
  <c r="B215" i="2" s="1"/>
  <c r="A214" i="2"/>
  <c r="B214" i="2" s="1"/>
  <c r="A213" i="2"/>
  <c r="B213" i="2" s="1"/>
  <c r="A212" i="2"/>
  <c r="B212" i="2" s="1"/>
  <c r="A211" i="2"/>
  <c r="B211" i="2" s="1"/>
  <c r="A210" i="2"/>
  <c r="A209" i="2"/>
  <c r="A208" i="2"/>
  <c r="A207" i="2"/>
  <c r="A206" i="2"/>
  <c r="A205" i="2"/>
  <c r="A204" i="2"/>
  <c r="A203" i="2"/>
  <c r="A202" i="2"/>
  <c r="A201" i="2"/>
  <c r="A200" i="2"/>
  <c r="A199" i="2"/>
  <c r="B199" i="2" s="1"/>
  <c r="A198" i="2"/>
  <c r="B198" i="2" s="1"/>
  <c r="A197" i="2"/>
  <c r="B197" i="2" s="1"/>
  <c r="A196" i="2"/>
  <c r="B196" i="2" s="1"/>
  <c r="A195" i="2"/>
  <c r="B195" i="2" s="1"/>
  <c r="A194" i="2"/>
  <c r="B194" i="2" s="1"/>
  <c r="A193" i="2"/>
  <c r="B193" i="2" s="1"/>
  <c r="A192" i="2"/>
  <c r="B192" i="2" s="1"/>
  <c r="A191" i="2"/>
  <c r="B191" i="2" s="1"/>
  <c r="A190" i="2"/>
  <c r="B190" i="2" s="1"/>
  <c r="A189" i="2"/>
  <c r="B189" i="2" s="1"/>
  <c r="A188" i="2"/>
  <c r="B188" i="2" s="1"/>
  <c r="A187" i="2"/>
  <c r="B187" i="2" s="1"/>
  <c r="A186" i="2"/>
  <c r="A185" i="2"/>
  <c r="A184" i="2"/>
  <c r="A183" i="2"/>
  <c r="A182" i="2"/>
  <c r="A181" i="2"/>
  <c r="A180" i="2"/>
  <c r="A179" i="2"/>
  <c r="A178" i="2"/>
  <c r="A177" i="2"/>
  <c r="A176" i="2"/>
  <c r="A175" i="2"/>
  <c r="B175" i="2" s="1"/>
  <c r="A174" i="2"/>
  <c r="B174" i="2" s="1"/>
  <c r="A173" i="2"/>
  <c r="B173" i="2" s="1"/>
  <c r="A172" i="2"/>
  <c r="B172" i="2" s="1"/>
  <c r="A171" i="2"/>
  <c r="B171" i="2" s="1"/>
  <c r="A170" i="2"/>
  <c r="B170" i="2" s="1"/>
  <c r="A169" i="2"/>
  <c r="B169" i="2" s="1"/>
  <c r="A168" i="2"/>
  <c r="B168" i="2" s="1"/>
  <c r="A167" i="2"/>
  <c r="B167" i="2" s="1"/>
  <c r="A166" i="2"/>
  <c r="B166" i="2" s="1"/>
  <c r="A165" i="2"/>
  <c r="B165" i="2" s="1"/>
  <c r="A164" i="2"/>
  <c r="B164" i="2" s="1"/>
  <c r="A163" i="2"/>
  <c r="B163" i="2" s="1"/>
  <c r="A162" i="2"/>
  <c r="A161" i="2"/>
  <c r="A160" i="2"/>
  <c r="A159" i="2"/>
  <c r="A158" i="2"/>
  <c r="A157" i="2"/>
  <c r="A156" i="2"/>
  <c r="A155" i="2"/>
  <c r="A154" i="2"/>
  <c r="A153" i="2"/>
  <c r="A152" i="2"/>
  <c r="A151" i="2"/>
  <c r="B151" i="2" s="1"/>
  <c r="A150" i="2"/>
  <c r="B150" i="2" s="1"/>
  <c r="A149" i="2"/>
  <c r="B149" i="2" s="1"/>
  <c r="A148" i="2"/>
  <c r="B148" i="2" s="1"/>
  <c r="A147" i="2"/>
  <c r="B147" i="2" s="1"/>
  <c r="A146" i="2"/>
  <c r="B146" i="2" s="1"/>
  <c r="A145" i="2"/>
  <c r="B145" i="2" s="1"/>
  <c r="A144" i="2"/>
  <c r="B144" i="2" s="1"/>
  <c r="A143" i="2"/>
  <c r="B143" i="2" s="1"/>
  <c r="A142" i="2"/>
  <c r="B142" i="2" s="1"/>
  <c r="A141" i="2"/>
  <c r="B141" i="2" s="1"/>
  <c r="A140" i="2"/>
  <c r="B140" i="2" s="1"/>
  <c r="A139" i="2"/>
  <c r="B139" i="2" s="1"/>
  <c r="A138" i="2"/>
  <c r="A137" i="2"/>
  <c r="A136" i="2"/>
  <c r="A135" i="2"/>
  <c r="A134" i="2"/>
  <c r="A133" i="2"/>
  <c r="A132" i="2"/>
  <c r="A131" i="2"/>
  <c r="A130" i="2"/>
  <c r="A129" i="2"/>
  <c r="A128" i="2"/>
  <c r="A127" i="2"/>
  <c r="B127" i="2" s="1"/>
  <c r="A126" i="2"/>
  <c r="B126" i="2" s="1"/>
  <c r="A125" i="2"/>
  <c r="B125" i="2" s="1"/>
  <c r="A124" i="2"/>
  <c r="B124" i="2" s="1"/>
  <c r="A123" i="2"/>
  <c r="B123" i="2" s="1"/>
  <c r="A122" i="2"/>
  <c r="B122" i="2" s="1"/>
  <c r="A121" i="2"/>
  <c r="B121" i="2" s="1"/>
  <c r="A120" i="2"/>
  <c r="B120" i="2" s="1"/>
  <c r="A119" i="2"/>
  <c r="B119" i="2" s="1"/>
  <c r="A118" i="2"/>
  <c r="B118" i="2" s="1"/>
  <c r="A117" i="2"/>
  <c r="B117" i="2" s="1"/>
  <c r="A116" i="2"/>
  <c r="B116" i="2" s="1"/>
  <c r="A115" i="2"/>
  <c r="B115" i="2" s="1"/>
  <c r="A114" i="2"/>
  <c r="A113" i="2"/>
  <c r="A112" i="2"/>
  <c r="A111" i="2"/>
  <c r="A110" i="2"/>
  <c r="A109" i="2"/>
  <c r="A108" i="2"/>
  <c r="A107" i="2"/>
  <c r="A106" i="2"/>
  <c r="A105" i="2"/>
  <c r="A104" i="2"/>
  <c r="A103" i="2"/>
  <c r="B103" i="2" s="1"/>
  <c r="A102" i="2"/>
  <c r="B102" i="2" s="1"/>
  <c r="A101" i="2"/>
  <c r="B101" i="2" s="1"/>
  <c r="A100" i="2"/>
  <c r="B100" i="2" s="1"/>
  <c r="A99" i="2"/>
  <c r="B99" i="2" s="1"/>
  <c r="A98" i="2"/>
  <c r="B98" i="2" s="1"/>
  <c r="A97" i="2"/>
  <c r="B97" i="2" s="1"/>
  <c r="A96" i="2"/>
  <c r="B96" i="2" s="1"/>
  <c r="A95" i="2"/>
  <c r="B95" i="2" s="1"/>
  <c r="A94" i="2"/>
  <c r="B94" i="2" s="1"/>
  <c r="A93" i="2"/>
  <c r="B93" i="2" s="1"/>
  <c r="A92" i="2"/>
  <c r="B92" i="2" s="1"/>
  <c r="A91" i="2"/>
  <c r="B91" i="2" s="1"/>
  <c r="A90" i="2"/>
  <c r="A89" i="2"/>
  <c r="A88" i="2"/>
  <c r="A87" i="2"/>
  <c r="A86" i="2"/>
  <c r="A85" i="2"/>
  <c r="A84" i="2"/>
  <c r="A83" i="2"/>
  <c r="A82" i="2"/>
  <c r="A81" i="2"/>
  <c r="A80" i="2"/>
  <c r="A79" i="2"/>
  <c r="B79" i="2" s="1"/>
  <c r="A78" i="2"/>
  <c r="B78" i="2" s="1"/>
  <c r="A77" i="2"/>
  <c r="B77" i="2" s="1"/>
  <c r="A76" i="2"/>
  <c r="B76" i="2" s="1"/>
  <c r="A75" i="2"/>
  <c r="B75" i="2" s="1"/>
  <c r="A74" i="2"/>
  <c r="B74" i="2" s="1"/>
  <c r="A73" i="2"/>
  <c r="B73" i="2" s="1"/>
  <c r="A72" i="2"/>
  <c r="B72" i="2" s="1"/>
  <c r="A71" i="2"/>
  <c r="B71" i="2" s="1"/>
  <c r="A70" i="2"/>
  <c r="B70" i="2" s="1"/>
  <c r="A69" i="2"/>
  <c r="B69" i="2" s="1"/>
  <c r="A68" i="2"/>
  <c r="B68" i="2" s="1"/>
  <c r="A67" i="2"/>
  <c r="B67" i="2" s="1"/>
  <c r="A66" i="2"/>
  <c r="A65" i="2"/>
  <c r="A64" i="2"/>
  <c r="A63" i="2"/>
  <c r="A62" i="2"/>
  <c r="A61" i="2"/>
  <c r="A60" i="2"/>
  <c r="A59" i="2"/>
  <c r="A58" i="2"/>
  <c r="A57" i="2"/>
  <c r="A56" i="2"/>
  <c r="A55" i="2"/>
  <c r="B55" i="2" s="1"/>
  <c r="A54" i="2"/>
  <c r="B54" i="2" s="1"/>
  <c r="A53" i="2"/>
  <c r="B53" i="2" s="1"/>
  <c r="A52" i="2"/>
  <c r="B52" i="2" s="1"/>
  <c r="A51" i="2"/>
  <c r="B51" i="2" s="1"/>
  <c r="A50" i="2"/>
  <c r="B50" i="2" s="1"/>
  <c r="A49" i="2"/>
  <c r="B49" i="2" s="1"/>
  <c r="A48" i="2"/>
  <c r="B48" i="2" s="1"/>
  <c r="A47" i="2"/>
  <c r="B47" i="2" s="1"/>
  <c r="A46" i="2"/>
  <c r="B46" i="2" s="1"/>
  <c r="A45" i="2"/>
  <c r="B45" i="2" s="1"/>
  <c r="A44" i="2"/>
  <c r="B44" i="2" s="1"/>
  <c r="A43" i="2"/>
  <c r="B43" i="2" s="1"/>
  <c r="A42" i="2"/>
  <c r="A41" i="2"/>
  <c r="A40" i="2"/>
  <c r="A39" i="2"/>
  <c r="A38" i="2"/>
  <c r="A37" i="2"/>
  <c r="A36" i="2"/>
  <c r="A35" i="2"/>
  <c r="A34" i="2"/>
  <c r="A33" i="2"/>
  <c r="A32" i="2"/>
  <c r="A31" i="2"/>
  <c r="B31" i="2" s="1"/>
  <c r="A30" i="2"/>
  <c r="B30" i="2" s="1"/>
  <c r="A29" i="2"/>
  <c r="B29" i="2" s="1"/>
  <c r="A28" i="2"/>
  <c r="B28" i="2" s="1"/>
  <c r="A27" i="2"/>
  <c r="B27" i="2" s="1"/>
  <c r="A26" i="2"/>
  <c r="B26" i="2" s="1"/>
  <c r="A25" i="2"/>
  <c r="B25" i="2" s="1"/>
  <c r="A24" i="2"/>
  <c r="B24" i="2" s="1"/>
  <c r="A23" i="2"/>
  <c r="B23" i="2" s="1"/>
  <c r="A22" i="2"/>
  <c r="B22" i="2" s="1"/>
  <c r="A21" i="2"/>
  <c r="B21" i="2" s="1"/>
  <c r="A20" i="2"/>
  <c r="B20" i="2" s="1"/>
  <c r="A19" i="2"/>
  <c r="B19" i="2" s="1"/>
  <c r="A18" i="2"/>
  <c r="A17" i="2"/>
  <c r="A16" i="2"/>
  <c r="A15" i="2"/>
  <c r="A14" i="2"/>
  <c r="A13" i="2"/>
  <c r="A12" i="2"/>
  <c r="A11" i="2"/>
  <c r="A10" i="2"/>
  <c r="A9" i="2"/>
  <c r="A8" i="2"/>
  <c r="A7" i="2"/>
  <c r="B7" i="2" s="1"/>
  <c r="A6" i="2"/>
  <c r="B6" i="2" s="1"/>
  <c r="A5" i="2"/>
  <c r="B5" i="2" s="1"/>
  <c r="A4" i="2"/>
  <c r="B4" i="2" s="1"/>
  <c r="A3" i="2"/>
  <c r="B3" i="2" s="1"/>
  <c r="A2" i="2"/>
  <c r="B2" i="2" s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11" i="1"/>
  <c r="I375" i="1" l="1"/>
  <c r="O375" i="1" s="1"/>
  <c r="V375" i="1" s="1"/>
  <c r="I374" i="1"/>
  <c r="O374" i="1" s="1"/>
  <c r="V374" i="1" s="1"/>
  <c r="I373" i="1"/>
  <c r="O373" i="1" s="1"/>
  <c r="V373" i="1" s="1"/>
  <c r="I372" i="1"/>
  <c r="O372" i="1" s="1"/>
  <c r="V372" i="1" s="1"/>
  <c r="I371" i="1"/>
  <c r="O371" i="1" s="1"/>
  <c r="V371" i="1" s="1"/>
  <c r="I370" i="1"/>
  <c r="O370" i="1" s="1"/>
  <c r="V370" i="1" s="1"/>
  <c r="I369" i="1"/>
  <c r="O369" i="1" s="1"/>
  <c r="V369" i="1" s="1"/>
  <c r="I368" i="1"/>
  <c r="O368" i="1" s="1"/>
  <c r="V368" i="1" s="1"/>
  <c r="I367" i="1"/>
  <c r="O367" i="1" s="1"/>
  <c r="V367" i="1" s="1"/>
  <c r="I366" i="1"/>
  <c r="O366" i="1" s="1"/>
  <c r="V366" i="1" s="1"/>
  <c r="I365" i="1"/>
  <c r="O365" i="1" s="1"/>
  <c r="V365" i="1" s="1"/>
  <c r="I364" i="1"/>
  <c r="O364" i="1" s="1"/>
  <c r="V364" i="1" s="1"/>
  <c r="I363" i="1"/>
  <c r="O363" i="1" s="1"/>
  <c r="V363" i="1" s="1"/>
  <c r="I362" i="1"/>
  <c r="O362" i="1" s="1"/>
  <c r="V362" i="1" s="1"/>
  <c r="I361" i="1"/>
  <c r="O361" i="1" s="1"/>
  <c r="V361" i="1" s="1"/>
  <c r="I360" i="1"/>
  <c r="O360" i="1" s="1"/>
  <c r="V360" i="1" s="1"/>
  <c r="I359" i="1"/>
  <c r="O359" i="1" s="1"/>
  <c r="V359" i="1" s="1"/>
  <c r="I358" i="1"/>
  <c r="O358" i="1" s="1"/>
  <c r="V358" i="1" s="1"/>
  <c r="I357" i="1"/>
  <c r="O357" i="1" s="1"/>
  <c r="V357" i="1" s="1"/>
  <c r="I356" i="1"/>
  <c r="O356" i="1" s="1"/>
  <c r="V356" i="1" s="1"/>
  <c r="I355" i="1"/>
  <c r="O355" i="1" s="1"/>
  <c r="V355" i="1" s="1"/>
  <c r="I354" i="1"/>
  <c r="O354" i="1" s="1"/>
  <c r="V354" i="1" s="1"/>
  <c r="I353" i="1"/>
  <c r="O353" i="1" s="1"/>
  <c r="V353" i="1" s="1"/>
  <c r="I352" i="1"/>
  <c r="O352" i="1" s="1"/>
  <c r="V352" i="1" s="1"/>
  <c r="I351" i="1"/>
  <c r="O351" i="1" s="1"/>
  <c r="V351" i="1" s="1"/>
  <c r="I350" i="1"/>
  <c r="O350" i="1" s="1"/>
  <c r="V350" i="1" s="1"/>
  <c r="I349" i="1"/>
  <c r="O349" i="1" s="1"/>
  <c r="V349" i="1" s="1"/>
  <c r="I348" i="1"/>
  <c r="O348" i="1" s="1"/>
  <c r="V348" i="1" s="1"/>
  <c r="I347" i="1"/>
  <c r="O347" i="1" s="1"/>
  <c r="V347" i="1" s="1"/>
  <c r="I346" i="1"/>
  <c r="O346" i="1" s="1"/>
  <c r="V346" i="1" s="1"/>
  <c r="I345" i="1"/>
  <c r="O345" i="1" s="1"/>
  <c r="V345" i="1" s="1"/>
  <c r="I344" i="1"/>
  <c r="O344" i="1" s="1"/>
  <c r="V344" i="1" s="1"/>
  <c r="I343" i="1"/>
  <c r="O343" i="1" s="1"/>
  <c r="V343" i="1" s="1"/>
  <c r="I342" i="1"/>
  <c r="O342" i="1" s="1"/>
  <c r="V342" i="1" s="1"/>
  <c r="I341" i="1"/>
  <c r="O341" i="1" s="1"/>
  <c r="V341" i="1" s="1"/>
  <c r="I340" i="1"/>
  <c r="O340" i="1" s="1"/>
  <c r="V340" i="1" s="1"/>
  <c r="I339" i="1"/>
  <c r="O339" i="1" s="1"/>
  <c r="V339" i="1" s="1"/>
  <c r="I338" i="1"/>
  <c r="O338" i="1" s="1"/>
  <c r="V338" i="1" s="1"/>
  <c r="I337" i="1"/>
  <c r="O337" i="1" s="1"/>
  <c r="V337" i="1" s="1"/>
  <c r="I336" i="1"/>
  <c r="O336" i="1" s="1"/>
  <c r="V336" i="1" s="1"/>
  <c r="I335" i="1"/>
  <c r="O335" i="1" s="1"/>
  <c r="V335" i="1" s="1"/>
  <c r="I334" i="1"/>
  <c r="O334" i="1" s="1"/>
  <c r="V334" i="1" s="1"/>
  <c r="I333" i="1"/>
  <c r="O333" i="1" s="1"/>
  <c r="V333" i="1" s="1"/>
  <c r="I332" i="1"/>
  <c r="O332" i="1" s="1"/>
  <c r="V332" i="1" s="1"/>
  <c r="I331" i="1"/>
  <c r="O331" i="1" s="1"/>
  <c r="V331" i="1" s="1"/>
  <c r="I330" i="1"/>
  <c r="O330" i="1" s="1"/>
  <c r="V330" i="1" s="1"/>
  <c r="I329" i="1"/>
  <c r="O329" i="1" s="1"/>
  <c r="V329" i="1" s="1"/>
  <c r="I328" i="1"/>
  <c r="O328" i="1" s="1"/>
  <c r="V328" i="1" s="1"/>
  <c r="I327" i="1"/>
  <c r="O327" i="1" s="1"/>
  <c r="V327" i="1" s="1"/>
  <c r="I326" i="1"/>
  <c r="O326" i="1" s="1"/>
  <c r="V326" i="1" s="1"/>
  <c r="I325" i="1"/>
  <c r="O325" i="1" s="1"/>
  <c r="V325" i="1" s="1"/>
  <c r="I324" i="1"/>
  <c r="O324" i="1" s="1"/>
  <c r="V324" i="1" s="1"/>
  <c r="I323" i="1"/>
  <c r="O323" i="1" s="1"/>
  <c r="V323" i="1" s="1"/>
  <c r="I322" i="1"/>
  <c r="O322" i="1" s="1"/>
  <c r="V322" i="1" s="1"/>
  <c r="I321" i="1"/>
  <c r="O321" i="1" s="1"/>
  <c r="V321" i="1" s="1"/>
  <c r="I320" i="1"/>
  <c r="O320" i="1" s="1"/>
  <c r="V320" i="1" s="1"/>
  <c r="I319" i="1"/>
  <c r="O319" i="1" s="1"/>
  <c r="V319" i="1" s="1"/>
  <c r="I318" i="1"/>
  <c r="O318" i="1" s="1"/>
  <c r="V318" i="1" s="1"/>
  <c r="I317" i="1"/>
  <c r="O317" i="1" s="1"/>
  <c r="V317" i="1" s="1"/>
  <c r="I316" i="1"/>
  <c r="O316" i="1" s="1"/>
  <c r="V316" i="1" s="1"/>
  <c r="I315" i="1"/>
  <c r="O315" i="1" s="1"/>
  <c r="V315" i="1" s="1"/>
  <c r="I314" i="1"/>
  <c r="O314" i="1" s="1"/>
  <c r="V314" i="1" s="1"/>
  <c r="I313" i="1"/>
  <c r="O313" i="1" s="1"/>
  <c r="V313" i="1" s="1"/>
  <c r="I312" i="1"/>
  <c r="O312" i="1" s="1"/>
  <c r="V312" i="1" s="1"/>
  <c r="I311" i="1"/>
  <c r="O311" i="1" s="1"/>
  <c r="V311" i="1" s="1"/>
  <c r="I310" i="1"/>
  <c r="O310" i="1" s="1"/>
  <c r="V310" i="1" s="1"/>
  <c r="I309" i="1"/>
  <c r="O309" i="1" s="1"/>
  <c r="V309" i="1" s="1"/>
  <c r="I308" i="1"/>
  <c r="O308" i="1" s="1"/>
  <c r="V308" i="1" s="1"/>
  <c r="I307" i="1"/>
  <c r="O307" i="1" s="1"/>
  <c r="V307" i="1" s="1"/>
  <c r="I306" i="1"/>
  <c r="O306" i="1" s="1"/>
  <c r="V306" i="1" s="1"/>
  <c r="I305" i="1"/>
  <c r="O305" i="1" s="1"/>
  <c r="V305" i="1" s="1"/>
  <c r="I304" i="1"/>
  <c r="O304" i="1" s="1"/>
  <c r="V304" i="1" s="1"/>
  <c r="I303" i="1"/>
  <c r="O303" i="1" s="1"/>
  <c r="V303" i="1" s="1"/>
  <c r="I302" i="1"/>
  <c r="O302" i="1" s="1"/>
  <c r="V302" i="1" s="1"/>
  <c r="I301" i="1"/>
  <c r="O301" i="1" s="1"/>
  <c r="V301" i="1" s="1"/>
  <c r="I300" i="1"/>
  <c r="O300" i="1" s="1"/>
  <c r="V300" i="1" s="1"/>
  <c r="I299" i="1"/>
  <c r="O299" i="1" s="1"/>
  <c r="V299" i="1" s="1"/>
  <c r="I298" i="1"/>
  <c r="O298" i="1" s="1"/>
  <c r="V298" i="1" s="1"/>
  <c r="I297" i="1"/>
  <c r="O297" i="1" s="1"/>
  <c r="V297" i="1" s="1"/>
  <c r="I296" i="1"/>
  <c r="O296" i="1" s="1"/>
  <c r="V296" i="1" s="1"/>
  <c r="I295" i="1"/>
  <c r="O295" i="1" s="1"/>
  <c r="V295" i="1" s="1"/>
  <c r="I294" i="1"/>
  <c r="O294" i="1" s="1"/>
  <c r="V294" i="1" s="1"/>
  <c r="I293" i="1"/>
  <c r="O293" i="1" s="1"/>
  <c r="V293" i="1" s="1"/>
  <c r="I292" i="1"/>
  <c r="O292" i="1" s="1"/>
  <c r="V292" i="1" s="1"/>
  <c r="I291" i="1"/>
  <c r="O291" i="1" s="1"/>
  <c r="V291" i="1" s="1"/>
  <c r="I290" i="1"/>
  <c r="O290" i="1" s="1"/>
  <c r="V290" i="1" s="1"/>
  <c r="I289" i="1"/>
  <c r="O289" i="1" s="1"/>
  <c r="V289" i="1" s="1"/>
  <c r="I288" i="1"/>
  <c r="O288" i="1" s="1"/>
  <c r="V288" i="1" s="1"/>
  <c r="I287" i="1"/>
  <c r="O287" i="1" s="1"/>
  <c r="V287" i="1" s="1"/>
  <c r="I286" i="1"/>
  <c r="O286" i="1" s="1"/>
  <c r="V286" i="1" s="1"/>
  <c r="I285" i="1"/>
  <c r="O285" i="1" s="1"/>
  <c r="V285" i="1" s="1"/>
  <c r="I284" i="1"/>
  <c r="O284" i="1" s="1"/>
  <c r="V284" i="1" s="1"/>
  <c r="I283" i="1"/>
  <c r="O283" i="1" s="1"/>
  <c r="V283" i="1" s="1"/>
  <c r="I282" i="1"/>
  <c r="O282" i="1" s="1"/>
  <c r="V282" i="1" s="1"/>
  <c r="I281" i="1"/>
  <c r="O281" i="1" s="1"/>
  <c r="V281" i="1" s="1"/>
  <c r="I280" i="1"/>
  <c r="O280" i="1" s="1"/>
  <c r="V280" i="1" s="1"/>
  <c r="I279" i="1"/>
  <c r="O279" i="1" s="1"/>
  <c r="V279" i="1" s="1"/>
  <c r="I278" i="1"/>
  <c r="O278" i="1" s="1"/>
  <c r="V278" i="1" s="1"/>
  <c r="I277" i="1"/>
  <c r="O277" i="1" s="1"/>
  <c r="V277" i="1" s="1"/>
  <c r="I276" i="1"/>
  <c r="O276" i="1" s="1"/>
  <c r="V276" i="1" s="1"/>
  <c r="I275" i="1"/>
  <c r="O275" i="1" s="1"/>
  <c r="V275" i="1" s="1"/>
  <c r="I274" i="1"/>
  <c r="O274" i="1" s="1"/>
  <c r="V274" i="1" s="1"/>
  <c r="I273" i="1"/>
  <c r="O273" i="1" s="1"/>
  <c r="V273" i="1" s="1"/>
  <c r="I272" i="1"/>
  <c r="O272" i="1" s="1"/>
  <c r="V272" i="1" s="1"/>
  <c r="I271" i="1"/>
  <c r="O271" i="1" s="1"/>
  <c r="V271" i="1" s="1"/>
  <c r="I270" i="1"/>
  <c r="O270" i="1" s="1"/>
  <c r="V270" i="1" s="1"/>
  <c r="I269" i="1"/>
  <c r="O269" i="1" s="1"/>
  <c r="V269" i="1" s="1"/>
  <c r="I268" i="1"/>
  <c r="O268" i="1" s="1"/>
  <c r="V268" i="1" s="1"/>
  <c r="I267" i="1"/>
  <c r="O267" i="1" s="1"/>
  <c r="V267" i="1" s="1"/>
  <c r="I266" i="1"/>
  <c r="O266" i="1" s="1"/>
  <c r="V266" i="1" s="1"/>
  <c r="I265" i="1"/>
  <c r="O265" i="1" s="1"/>
  <c r="V265" i="1" s="1"/>
  <c r="I264" i="1"/>
  <c r="O264" i="1" s="1"/>
  <c r="V264" i="1" s="1"/>
  <c r="I263" i="1"/>
  <c r="O263" i="1" s="1"/>
  <c r="V263" i="1" s="1"/>
  <c r="I262" i="1"/>
  <c r="O262" i="1" s="1"/>
  <c r="V262" i="1" s="1"/>
  <c r="I261" i="1"/>
  <c r="O261" i="1" s="1"/>
  <c r="V261" i="1" s="1"/>
  <c r="I260" i="1"/>
  <c r="O260" i="1" s="1"/>
  <c r="V260" i="1" s="1"/>
  <c r="I259" i="1"/>
  <c r="O259" i="1" s="1"/>
  <c r="V259" i="1" s="1"/>
  <c r="I258" i="1"/>
  <c r="O258" i="1" s="1"/>
  <c r="V258" i="1" s="1"/>
  <c r="I257" i="1"/>
  <c r="O257" i="1" s="1"/>
  <c r="V257" i="1" s="1"/>
  <c r="I256" i="1"/>
  <c r="O256" i="1" s="1"/>
  <c r="V256" i="1" s="1"/>
  <c r="I255" i="1"/>
  <c r="O255" i="1" s="1"/>
  <c r="V255" i="1" s="1"/>
  <c r="I254" i="1"/>
  <c r="O254" i="1" s="1"/>
  <c r="V254" i="1" s="1"/>
  <c r="I253" i="1"/>
  <c r="O253" i="1" s="1"/>
  <c r="V253" i="1" s="1"/>
  <c r="I252" i="1"/>
  <c r="O252" i="1" s="1"/>
  <c r="V252" i="1" s="1"/>
  <c r="I251" i="1"/>
  <c r="O251" i="1" s="1"/>
  <c r="V251" i="1" s="1"/>
  <c r="I250" i="1"/>
  <c r="O250" i="1" s="1"/>
  <c r="V250" i="1" s="1"/>
  <c r="I249" i="1"/>
  <c r="O249" i="1" s="1"/>
  <c r="V249" i="1" s="1"/>
  <c r="I248" i="1"/>
  <c r="O248" i="1" s="1"/>
  <c r="V248" i="1" s="1"/>
  <c r="I247" i="1"/>
  <c r="O247" i="1" s="1"/>
  <c r="V247" i="1" s="1"/>
  <c r="I246" i="1"/>
  <c r="O246" i="1" s="1"/>
  <c r="V246" i="1" s="1"/>
  <c r="I245" i="1"/>
  <c r="O245" i="1" s="1"/>
  <c r="V245" i="1" s="1"/>
  <c r="I244" i="1"/>
  <c r="O244" i="1" s="1"/>
  <c r="V244" i="1" s="1"/>
  <c r="I243" i="1"/>
  <c r="O243" i="1" s="1"/>
  <c r="V243" i="1" s="1"/>
  <c r="I242" i="1"/>
  <c r="O242" i="1" s="1"/>
  <c r="V242" i="1" s="1"/>
  <c r="I241" i="1"/>
  <c r="O241" i="1" s="1"/>
  <c r="V241" i="1" s="1"/>
  <c r="I240" i="1"/>
  <c r="O240" i="1" s="1"/>
  <c r="V240" i="1" s="1"/>
  <c r="I239" i="1"/>
  <c r="O239" i="1" s="1"/>
  <c r="V239" i="1" s="1"/>
  <c r="I238" i="1"/>
  <c r="O238" i="1" s="1"/>
  <c r="V238" i="1" s="1"/>
  <c r="I237" i="1"/>
  <c r="O237" i="1" s="1"/>
  <c r="V237" i="1" s="1"/>
  <c r="I236" i="1"/>
  <c r="O236" i="1" s="1"/>
  <c r="V236" i="1" s="1"/>
  <c r="I235" i="1"/>
  <c r="O235" i="1" s="1"/>
  <c r="V235" i="1" s="1"/>
  <c r="I234" i="1"/>
  <c r="O234" i="1" s="1"/>
  <c r="V234" i="1" s="1"/>
  <c r="I233" i="1"/>
  <c r="O233" i="1" s="1"/>
  <c r="V233" i="1" s="1"/>
  <c r="I232" i="1"/>
  <c r="O232" i="1" s="1"/>
  <c r="V232" i="1" s="1"/>
  <c r="I231" i="1"/>
  <c r="O231" i="1" s="1"/>
  <c r="V231" i="1" s="1"/>
  <c r="I230" i="1"/>
  <c r="O230" i="1" s="1"/>
  <c r="V230" i="1" s="1"/>
  <c r="I229" i="1"/>
  <c r="O229" i="1" s="1"/>
  <c r="V229" i="1" s="1"/>
  <c r="I228" i="1"/>
  <c r="O228" i="1" s="1"/>
  <c r="V228" i="1" s="1"/>
  <c r="I227" i="1"/>
  <c r="O227" i="1" s="1"/>
  <c r="V227" i="1" s="1"/>
  <c r="I226" i="1"/>
  <c r="O226" i="1" s="1"/>
  <c r="V226" i="1" s="1"/>
  <c r="I225" i="1"/>
  <c r="O225" i="1" s="1"/>
  <c r="V225" i="1" s="1"/>
  <c r="I224" i="1"/>
  <c r="O224" i="1" s="1"/>
  <c r="V224" i="1" s="1"/>
  <c r="I223" i="1"/>
  <c r="O223" i="1" s="1"/>
  <c r="V223" i="1" s="1"/>
  <c r="I222" i="1"/>
  <c r="O222" i="1" s="1"/>
  <c r="V222" i="1" s="1"/>
  <c r="I221" i="1"/>
  <c r="O221" i="1" s="1"/>
  <c r="V221" i="1" s="1"/>
  <c r="I220" i="1"/>
  <c r="O220" i="1" s="1"/>
  <c r="V220" i="1" s="1"/>
  <c r="I219" i="1"/>
  <c r="O219" i="1" s="1"/>
  <c r="V219" i="1" s="1"/>
  <c r="I218" i="1"/>
  <c r="O218" i="1" s="1"/>
  <c r="V218" i="1" s="1"/>
  <c r="I217" i="1"/>
  <c r="O217" i="1" s="1"/>
  <c r="V217" i="1" s="1"/>
  <c r="I216" i="1"/>
  <c r="O216" i="1" s="1"/>
  <c r="V216" i="1" s="1"/>
  <c r="I215" i="1"/>
  <c r="O215" i="1" s="1"/>
  <c r="V215" i="1" s="1"/>
  <c r="I214" i="1"/>
  <c r="O214" i="1" s="1"/>
  <c r="V214" i="1" s="1"/>
  <c r="I213" i="1"/>
  <c r="O213" i="1" s="1"/>
  <c r="V213" i="1" s="1"/>
  <c r="I212" i="1"/>
  <c r="O212" i="1" s="1"/>
  <c r="V212" i="1" s="1"/>
  <c r="I211" i="1"/>
  <c r="O211" i="1" s="1"/>
  <c r="V211" i="1" s="1"/>
  <c r="I210" i="1"/>
  <c r="O210" i="1" s="1"/>
  <c r="V210" i="1" s="1"/>
  <c r="I209" i="1"/>
  <c r="O209" i="1" s="1"/>
  <c r="V209" i="1" s="1"/>
  <c r="I208" i="1"/>
  <c r="O208" i="1" s="1"/>
  <c r="V208" i="1" s="1"/>
  <c r="I207" i="1"/>
  <c r="O207" i="1" s="1"/>
  <c r="V207" i="1" s="1"/>
  <c r="I206" i="1"/>
  <c r="O206" i="1" s="1"/>
  <c r="V206" i="1" s="1"/>
  <c r="I205" i="1"/>
  <c r="O205" i="1" s="1"/>
  <c r="V205" i="1" s="1"/>
  <c r="I204" i="1"/>
  <c r="O204" i="1" s="1"/>
  <c r="V204" i="1" s="1"/>
  <c r="I203" i="1"/>
  <c r="O203" i="1" s="1"/>
  <c r="V203" i="1" s="1"/>
  <c r="I202" i="1"/>
  <c r="O202" i="1" s="1"/>
  <c r="V202" i="1" s="1"/>
  <c r="I201" i="1"/>
  <c r="O201" i="1" s="1"/>
  <c r="V201" i="1" s="1"/>
  <c r="I200" i="1"/>
  <c r="O200" i="1" s="1"/>
  <c r="V200" i="1" s="1"/>
  <c r="I199" i="1"/>
  <c r="O199" i="1" s="1"/>
  <c r="V199" i="1" s="1"/>
  <c r="I198" i="1"/>
  <c r="O198" i="1" s="1"/>
  <c r="V198" i="1" s="1"/>
  <c r="I197" i="1"/>
  <c r="O197" i="1" s="1"/>
  <c r="V197" i="1" s="1"/>
  <c r="I196" i="1"/>
  <c r="O196" i="1" s="1"/>
  <c r="V196" i="1" s="1"/>
  <c r="I195" i="1"/>
  <c r="O195" i="1" s="1"/>
  <c r="V195" i="1" s="1"/>
  <c r="I194" i="1"/>
  <c r="O194" i="1" s="1"/>
  <c r="V194" i="1" s="1"/>
  <c r="I193" i="1"/>
  <c r="O193" i="1" s="1"/>
  <c r="V193" i="1" s="1"/>
  <c r="I192" i="1"/>
  <c r="O192" i="1" s="1"/>
  <c r="V192" i="1" s="1"/>
  <c r="I191" i="1"/>
  <c r="O191" i="1" s="1"/>
  <c r="V191" i="1" s="1"/>
  <c r="I190" i="1"/>
  <c r="O190" i="1" s="1"/>
  <c r="V190" i="1" s="1"/>
  <c r="I189" i="1"/>
  <c r="O189" i="1" s="1"/>
  <c r="V189" i="1" s="1"/>
  <c r="I188" i="1"/>
  <c r="O188" i="1" s="1"/>
  <c r="V188" i="1" s="1"/>
  <c r="I187" i="1"/>
  <c r="O187" i="1" s="1"/>
  <c r="V187" i="1" s="1"/>
  <c r="I186" i="1"/>
  <c r="O186" i="1" s="1"/>
  <c r="V186" i="1" s="1"/>
  <c r="I185" i="1"/>
  <c r="O185" i="1" s="1"/>
  <c r="V185" i="1" s="1"/>
  <c r="I184" i="1"/>
  <c r="O184" i="1" s="1"/>
  <c r="V184" i="1" s="1"/>
  <c r="I183" i="1"/>
  <c r="O183" i="1" s="1"/>
  <c r="V183" i="1" s="1"/>
  <c r="I182" i="1"/>
  <c r="O182" i="1" s="1"/>
  <c r="V182" i="1" s="1"/>
  <c r="I181" i="1"/>
  <c r="O181" i="1" s="1"/>
  <c r="V181" i="1" s="1"/>
  <c r="I180" i="1"/>
  <c r="O180" i="1" s="1"/>
  <c r="V180" i="1" s="1"/>
  <c r="I179" i="1"/>
  <c r="O179" i="1" s="1"/>
  <c r="V179" i="1" s="1"/>
  <c r="I178" i="1"/>
  <c r="O178" i="1" s="1"/>
  <c r="V178" i="1" s="1"/>
  <c r="I177" i="1"/>
  <c r="O177" i="1" s="1"/>
  <c r="V177" i="1" s="1"/>
  <c r="I176" i="1"/>
  <c r="O176" i="1" s="1"/>
  <c r="V176" i="1" s="1"/>
  <c r="I175" i="1"/>
  <c r="O175" i="1" s="1"/>
  <c r="V175" i="1" s="1"/>
  <c r="I174" i="1"/>
  <c r="O174" i="1" s="1"/>
  <c r="V174" i="1" s="1"/>
  <c r="I173" i="1"/>
  <c r="O173" i="1" s="1"/>
  <c r="V173" i="1" s="1"/>
  <c r="I172" i="1"/>
  <c r="O172" i="1" s="1"/>
  <c r="V172" i="1" s="1"/>
  <c r="I171" i="1"/>
  <c r="O171" i="1" s="1"/>
  <c r="V171" i="1" s="1"/>
  <c r="I170" i="1"/>
  <c r="O170" i="1" s="1"/>
  <c r="V170" i="1" s="1"/>
  <c r="I169" i="1"/>
  <c r="O169" i="1" s="1"/>
  <c r="V169" i="1" s="1"/>
  <c r="I168" i="1"/>
  <c r="O168" i="1" s="1"/>
  <c r="V168" i="1" s="1"/>
  <c r="I167" i="1"/>
  <c r="O167" i="1" s="1"/>
  <c r="V167" i="1" s="1"/>
  <c r="I166" i="1"/>
  <c r="O166" i="1" s="1"/>
  <c r="V166" i="1" s="1"/>
  <c r="I165" i="1"/>
  <c r="O165" i="1" s="1"/>
  <c r="V165" i="1" s="1"/>
  <c r="I164" i="1"/>
  <c r="O164" i="1" s="1"/>
  <c r="V164" i="1" s="1"/>
  <c r="I163" i="1"/>
  <c r="O163" i="1" s="1"/>
  <c r="V163" i="1" s="1"/>
  <c r="I162" i="1"/>
  <c r="O162" i="1" s="1"/>
  <c r="V162" i="1" s="1"/>
  <c r="I161" i="1"/>
  <c r="O161" i="1" s="1"/>
  <c r="V161" i="1" s="1"/>
  <c r="I160" i="1"/>
  <c r="O160" i="1" s="1"/>
  <c r="V160" i="1" s="1"/>
  <c r="I159" i="1"/>
  <c r="O159" i="1" s="1"/>
  <c r="V159" i="1" s="1"/>
  <c r="I158" i="1"/>
  <c r="O158" i="1" s="1"/>
  <c r="V158" i="1" s="1"/>
  <c r="I157" i="1"/>
  <c r="O157" i="1" s="1"/>
  <c r="V157" i="1" s="1"/>
  <c r="I156" i="1"/>
  <c r="O156" i="1" s="1"/>
  <c r="V156" i="1" s="1"/>
  <c r="I155" i="1"/>
  <c r="O155" i="1" s="1"/>
  <c r="V155" i="1" s="1"/>
  <c r="I154" i="1"/>
  <c r="O154" i="1" s="1"/>
  <c r="V154" i="1" s="1"/>
  <c r="I153" i="1"/>
  <c r="O153" i="1" s="1"/>
  <c r="V153" i="1" s="1"/>
  <c r="I152" i="1"/>
  <c r="O152" i="1" s="1"/>
  <c r="V152" i="1" s="1"/>
  <c r="I151" i="1"/>
  <c r="O151" i="1" s="1"/>
  <c r="V151" i="1" s="1"/>
  <c r="I150" i="1"/>
  <c r="O150" i="1" s="1"/>
  <c r="V150" i="1" s="1"/>
  <c r="I149" i="1"/>
  <c r="O149" i="1" s="1"/>
  <c r="V149" i="1" s="1"/>
  <c r="I148" i="1"/>
  <c r="O148" i="1" s="1"/>
  <c r="V148" i="1" s="1"/>
  <c r="I147" i="1"/>
  <c r="O147" i="1" s="1"/>
  <c r="V147" i="1" s="1"/>
  <c r="I146" i="1"/>
  <c r="O146" i="1" s="1"/>
  <c r="V146" i="1" s="1"/>
  <c r="I145" i="1"/>
  <c r="O145" i="1" s="1"/>
  <c r="V145" i="1" s="1"/>
  <c r="I144" i="1"/>
  <c r="O144" i="1" s="1"/>
  <c r="V144" i="1" s="1"/>
  <c r="I143" i="1"/>
  <c r="O143" i="1" s="1"/>
  <c r="V143" i="1" s="1"/>
  <c r="I142" i="1"/>
  <c r="O142" i="1" s="1"/>
  <c r="V142" i="1" s="1"/>
  <c r="I141" i="1"/>
  <c r="O141" i="1" s="1"/>
  <c r="V141" i="1" s="1"/>
  <c r="I140" i="1"/>
  <c r="O140" i="1" s="1"/>
  <c r="V140" i="1" s="1"/>
  <c r="I139" i="1"/>
  <c r="O139" i="1" s="1"/>
  <c r="V139" i="1" s="1"/>
  <c r="I138" i="1"/>
  <c r="O138" i="1" s="1"/>
  <c r="V138" i="1" s="1"/>
  <c r="I137" i="1"/>
  <c r="O137" i="1" s="1"/>
  <c r="V137" i="1" s="1"/>
  <c r="I136" i="1"/>
  <c r="O136" i="1" s="1"/>
  <c r="V136" i="1" s="1"/>
  <c r="I135" i="1"/>
  <c r="O135" i="1" s="1"/>
  <c r="V135" i="1" s="1"/>
  <c r="I134" i="1"/>
  <c r="O134" i="1" s="1"/>
  <c r="V134" i="1" s="1"/>
  <c r="I133" i="1"/>
  <c r="O133" i="1" s="1"/>
  <c r="V133" i="1" s="1"/>
  <c r="I132" i="1"/>
  <c r="O132" i="1" s="1"/>
  <c r="V132" i="1" s="1"/>
  <c r="I131" i="1"/>
  <c r="O131" i="1" s="1"/>
  <c r="V131" i="1" s="1"/>
  <c r="I130" i="1"/>
  <c r="O130" i="1" s="1"/>
  <c r="V130" i="1" s="1"/>
  <c r="I129" i="1"/>
  <c r="O129" i="1" s="1"/>
  <c r="V129" i="1" s="1"/>
  <c r="I128" i="1"/>
  <c r="O128" i="1" s="1"/>
  <c r="V128" i="1" s="1"/>
  <c r="I127" i="1"/>
  <c r="O127" i="1" s="1"/>
  <c r="V127" i="1" s="1"/>
  <c r="I126" i="1"/>
  <c r="O126" i="1" s="1"/>
  <c r="V126" i="1" s="1"/>
  <c r="I125" i="1"/>
  <c r="O125" i="1" s="1"/>
  <c r="V125" i="1" s="1"/>
  <c r="I124" i="1"/>
  <c r="O124" i="1" s="1"/>
  <c r="V124" i="1" s="1"/>
  <c r="I123" i="1"/>
  <c r="O123" i="1" s="1"/>
  <c r="V123" i="1" s="1"/>
  <c r="I122" i="1"/>
  <c r="O122" i="1" s="1"/>
  <c r="V122" i="1" s="1"/>
  <c r="I121" i="1"/>
  <c r="O121" i="1" s="1"/>
  <c r="V121" i="1" s="1"/>
  <c r="I120" i="1"/>
  <c r="O120" i="1" s="1"/>
  <c r="V120" i="1" s="1"/>
  <c r="I119" i="1"/>
  <c r="O119" i="1" s="1"/>
  <c r="V119" i="1" s="1"/>
  <c r="I118" i="1"/>
  <c r="O118" i="1" s="1"/>
  <c r="V118" i="1" s="1"/>
  <c r="I117" i="1"/>
  <c r="O117" i="1" s="1"/>
  <c r="V117" i="1" s="1"/>
  <c r="I116" i="1"/>
  <c r="O116" i="1" s="1"/>
  <c r="V116" i="1" s="1"/>
  <c r="I115" i="1"/>
  <c r="O115" i="1" s="1"/>
  <c r="V115" i="1" s="1"/>
  <c r="I114" i="1"/>
  <c r="O114" i="1" s="1"/>
  <c r="V114" i="1" s="1"/>
  <c r="I113" i="1"/>
  <c r="O113" i="1" s="1"/>
  <c r="V113" i="1" s="1"/>
  <c r="I112" i="1"/>
  <c r="O112" i="1" s="1"/>
  <c r="V112" i="1" s="1"/>
  <c r="I111" i="1"/>
  <c r="O111" i="1" s="1"/>
  <c r="V111" i="1" s="1"/>
  <c r="I110" i="1"/>
  <c r="O110" i="1" s="1"/>
  <c r="V110" i="1" s="1"/>
  <c r="I109" i="1"/>
  <c r="O109" i="1" s="1"/>
  <c r="V109" i="1" s="1"/>
  <c r="I108" i="1"/>
  <c r="O108" i="1" s="1"/>
  <c r="V108" i="1" s="1"/>
  <c r="I107" i="1"/>
  <c r="O107" i="1" s="1"/>
  <c r="V107" i="1" s="1"/>
  <c r="I106" i="1"/>
  <c r="O106" i="1" s="1"/>
  <c r="V106" i="1" s="1"/>
  <c r="I105" i="1"/>
  <c r="O105" i="1" s="1"/>
  <c r="V105" i="1" s="1"/>
  <c r="I104" i="1"/>
  <c r="O104" i="1" s="1"/>
  <c r="V104" i="1" s="1"/>
  <c r="I103" i="1"/>
  <c r="O103" i="1" s="1"/>
  <c r="V103" i="1" s="1"/>
  <c r="I102" i="1"/>
  <c r="O102" i="1" s="1"/>
  <c r="V102" i="1" s="1"/>
  <c r="I101" i="1"/>
  <c r="O101" i="1" s="1"/>
  <c r="V101" i="1" s="1"/>
  <c r="I100" i="1"/>
  <c r="O100" i="1" s="1"/>
  <c r="V100" i="1" s="1"/>
  <c r="I99" i="1"/>
  <c r="O99" i="1" s="1"/>
  <c r="V99" i="1" s="1"/>
  <c r="I98" i="1"/>
  <c r="O98" i="1" s="1"/>
  <c r="V98" i="1" s="1"/>
  <c r="I97" i="1"/>
  <c r="O97" i="1" s="1"/>
  <c r="V97" i="1" s="1"/>
  <c r="I96" i="1"/>
  <c r="O96" i="1" s="1"/>
  <c r="V96" i="1" s="1"/>
  <c r="I95" i="1"/>
  <c r="O95" i="1" s="1"/>
  <c r="V95" i="1" s="1"/>
  <c r="I94" i="1"/>
  <c r="O94" i="1" s="1"/>
  <c r="V94" i="1" s="1"/>
  <c r="I93" i="1"/>
  <c r="O93" i="1" s="1"/>
  <c r="V93" i="1" s="1"/>
  <c r="I92" i="1"/>
  <c r="O92" i="1" s="1"/>
  <c r="V92" i="1" s="1"/>
  <c r="I91" i="1"/>
  <c r="O91" i="1" s="1"/>
  <c r="V91" i="1" s="1"/>
  <c r="I90" i="1"/>
  <c r="O90" i="1" s="1"/>
  <c r="V90" i="1" s="1"/>
  <c r="I89" i="1"/>
  <c r="O89" i="1" s="1"/>
  <c r="V89" i="1" s="1"/>
  <c r="I88" i="1"/>
  <c r="O88" i="1" s="1"/>
  <c r="V88" i="1" s="1"/>
  <c r="I87" i="1"/>
  <c r="O87" i="1" s="1"/>
  <c r="V87" i="1" s="1"/>
  <c r="I86" i="1"/>
  <c r="O86" i="1" s="1"/>
  <c r="V86" i="1" s="1"/>
  <c r="I85" i="1"/>
  <c r="O85" i="1" s="1"/>
  <c r="V85" i="1" s="1"/>
  <c r="I84" i="1"/>
  <c r="O84" i="1" s="1"/>
  <c r="V84" i="1" s="1"/>
  <c r="I83" i="1"/>
  <c r="O83" i="1" s="1"/>
  <c r="V83" i="1" s="1"/>
  <c r="I82" i="1"/>
  <c r="O82" i="1" s="1"/>
  <c r="V82" i="1" s="1"/>
  <c r="I81" i="1"/>
  <c r="O81" i="1" s="1"/>
  <c r="V81" i="1" s="1"/>
  <c r="I80" i="1"/>
  <c r="O80" i="1" s="1"/>
  <c r="V80" i="1" s="1"/>
  <c r="I79" i="1"/>
  <c r="O79" i="1" s="1"/>
  <c r="V79" i="1" s="1"/>
  <c r="I78" i="1"/>
  <c r="O78" i="1" s="1"/>
  <c r="V78" i="1" s="1"/>
  <c r="I77" i="1"/>
  <c r="O77" i="1" s="1"/>
  <c r="V77" i="1" s="1"/>
  <c r="I76" i="1"/>
  <c r="O76" i="1" s="1"/>
  <c r="V76" i="1" s="1"/>
  <c r="I75" i="1"/>
  <c r="O75" i="1" s="1"/>
  <c r="V75" i="1" s="1"/>
  <c r="I74" i="1"/>
  <c r="O74" i="1" s="1"/>
  <c r="V74" i="1" s="1"/>
  <c r="I73" i="1"/>
  <c r="O73" i="1" s="1"/>
  <c r="V73" i="1" s="1"/>
  <c r="I72" i="1"/>
  <c r="O72" i="1" s="1"/>
  <c r="V72" i="1" s="1"/>
  <c r="I71" i="1"/>
  <c r="O71" i="1" s="1"/>
  <c r="V71" i="1" s="1"/>
  <c r="I70" i="1"/>
  <c r="O70" i="1" s="1"/>
  <c r="V70" i="1" s="1"/>
  <c r="I69" i="1"/>
  <c r="O69" i="1" s="1"/>
  <c r="V69" i="1" s="1"/>
  <c r="I68" i="1"/>
  <c r="O68" i="1" s="1"/>
  <c r="V68" i="1" s="1"/>
  <c r="I67" i="1"/>
  <c r="O67" i="1" s="1"/>
  <c r="V67" i="1" s="1"/>
  <c r="I66" i="1"/>
  <c r="O66" i="1" s="1"/>
  <c r="V66" i="1" s="1"/>
  <c r="I65" i="1"/>
  <c r="O65" i="1" s="1"/>
  <c r="V65" i="1" s="1"/>
  <c r="I64" i="1"/>
  <c r="O64" i="1" s="1"/>
  <c r="V64" i="1" s="1"/>
  <c r="I63" i="1"/>
  <c r="O63" i="1" s="1"/>
  <c r="V63" i="1" s="1"/>
  <c r="I62" i="1"/>
  <c r="O62" i="1" s="1"/>
  <c r="V62" i="1" s="1"/>
  <c r="I61" i="1"/>
  <c r="O61" i="1" s="1"/>
  <c r="V61" i="1" s="1"/>
  <c r="I60" i="1"/>
  <c r="O60" i="1" s="1"/>
  <c r="V60" i="1" s="1"/>
  <c r="I59" i="1"/>
  <c r="O59" i="1" s="1"/>
  <c r="V59" i="1" s="1"/>
  <c r="I58" i="1"/>
  <c r="O58" i="1" s="1"/>
  <c r="V58" i="1" s="1"/>
  <c r="I57" i="1"/>
  <c r="O57" i="1" s="1"/>
  <c r="V57" i="1" s="1"/>
  <c r="I56" i="1"/>
  <c r="O56" i="1" s="1"/>
  <c r="V56" i="1" s="1"/>
  <c r="I55" i="1"/>
  <c r="O55" i="1" s="1"/>
  <c r="V55" i="1" s="1"/>
  <c r="I54" i="1"/>
  <c r="O54" i="1" s="1"/>
  <c r="V54" i="1" s="1"/>
  <c r="I53" i="1"/>
  <c r="O53" i="1" s="1"/>
  <c r="V53" i="1" s="1"/>
  <c r="I52" i="1"/>
  <c r="O52" i="1" s="1"/>
  <c r="V52" i="1" s="1"/>
  <c r="I51" i="1"/>
  <c r="O51" i="1" s="1"/>
  <c r="V51" i="1" s="1"/>
  <c r="I50" i="1"/>
  <c r="O50" i="1" s="1"/>
  <c r="V50" i="1" s="1"/>
  <c r="I49" i="1"/>
  <c r="O49" i="1" s="1"/>
  <c r="V49" i="1" s="1"/>
  <c r="I48" i="1"/>
  <c r="O48" i="1" s="1"/>
  <c r="V48" i="1" s="1"/>
  <c r="I47" i="1"/>
  <c r="O47" i="1" s="1"/>
  <c r="V47" i="1" s="1"/>
  <c r="I46" i="1"/>
  <c r="O46" i="1" s="1"/>
  <c r="V46" i="1" s="1"/>
  <c r="I45" i="1"/>
  <c r="O45" i="1" s="1"/>
  <c r="V45" i="1" s="1"/>
  <c r="I44" i="1"/>
  <c r="O44" i="1" s="1"/>
  <c r="V44" i="1" s="1"/>
  <c r="I43" i="1"/>
  <c r="O43" i="1" s="1"/>
  <c r="V43" i="1" s="1"/>
  <c r="I42" i="1"/>
  <c r="O42" i="1" s="1"/>
  <c r="V42" i="1" s="1"/>
  <c r="I41" i="1"/>
  <c r="O41" i="1" s="1"/>
  <c r="V41" i="1" s="1"/>
  <c r="I40" i="1"/>
  <c r="O40" i="1" s="1"/>
  <c r="V40" i="1" s="1"/>
  <c r="I39" i="1"/>
  <c r="O39" i="1" s="1"/>
  <c r="V39" i="1" s="1"/>
  <c r="I38" i="1"/>
  <c r="O38" i="1" s="1"/>
  <c r="V38" i="1" s="1"/>
  <c r="I37" i="1"/>
  <c r="O37" i="1" s="1"/>
  <c r="V37" i="1" s="1"/>
  <c r="I36" i="1"/>
  <c r="O36" i="1" s="1"/>
  <c r="V36" i="1" s="1"/>
  <c r="I35" i="1"/>
  <c r="O35" i="1" s="1"/>
  <c r="V35" i="1" s="1"/>
  <c r="I34" i="1"/>
  <c r="O34" i="1" s="1"/>
  <c r="V34" i="1" s="1"/>
  <c r="I33" i="1"/>
  <c r="O33" i="1" s="1"/>
  <c r="V33" i="1" s="1"/>
  <c r="I32" i="1"/>
  <c r="O32" i="1" s="1"/>
  <c r="V32" i="1" s="1"/>
  <c r="I31" i="1"/>
  <c r="O31" i="1" s="1"/>
  <c r="V31" i="1" s="1"/>
  <c r="I30" i="1"/>
  <c r="O30" i="1" s="1"/>
  <c r="V30" i="1" s="1"/>
  <c r="I29" i="1"/>
  <c r="O29" i="1" s="1"/>
  <c r="V29" i="1" s="1"/>
  <c r="I28" i="1"/>
  <c r="O28" i="1" s="1"/>
  <c r="V28" i="1" s="1"/>
  <c r="I27" i="1"/>
  <c r="O27" i="1" s="1"/>
  <c r="V27" i="1" s="1"/>
  <c r="I26" i="1"/>
  <c r="O26" i="1" s="1"/>
  <c r="V26" i="1" s="1"/>
  <c r="I25" i="1"/>
  <c r="O25" i="1" s="1"/>
  <c r="V25" i="1" s="1"/>
  <c r="I24" i="1"/>
  <c r="O24" i="1" s="1"/>
  <c r="V24" i="1" s="1"/>
  <c r="I23" i="1"/>
  <c r="O23" i="1" s="1"/>
  <c r="V23" i="1" s="1"/>
  <c r="I22" i="1"/>
  <c r="O22" i="1" s="1"/>
  <c r="V22" i="1" s="1"/>
  <c r="I21" i="1"/>
  <c r="I20" i="1"/>
  <c r="O20" i="1" s="1"/>
  <c r="V20" i="1" s="1"/>
  <c r="I19" i="1"/>
  <c r="O19" i="1" s="1"/>
  <c r="V19" i="1" s="1"/>
  <c r="I18" i="1"/>
  <c r="O18" i="1" s="1"/>
  <c r="V18" i="1" s="1"/>
  <c r="I17" i="1"/>
  <c r="O17" i="1" s="1"/>
  <c r="V17" i="1" s="1"/>
  <c r="I16" i="1"/>
  <c r="O16" i="1" s="1"/>
  <c r="V16" i="1" s="1"/>
  <c r="I15" i="1"/>
  <c r="O15" i="1" s="1"/>
  <c r="V15" i="1" s="1"/>
  <c r="I14" i="1"/>
  <c r="O14" i="1" s="1"/>
  <c r="V14" i="1" s="1"/>
  <c r="I13" i="1"/>
  <c r="O13" i="1" s="1"/>
  <c r="V13" i="1" s="1"/>
  <c r="I12" i="1"/>
  <c r="O12" i="1" s="1"/>
  <c r="V12" i="1" s="1"/>
  <c r="I11" i="1"/>
  <c r="O21" i="1" l="1"/>
  <c r="V21" i="1" s="1"/>
  <c r="C8" i="1"/>
  <c r="O11" i="1"/>
  <c r="I381" i="1"/>
  <c r="I382" i="1"/>
  <c r="I383" i="1"/>
  <c r="I380" i="1"/>
  <c r="I378" i="1"/>
  <c r="C7" i="1"/>
  <c r="I377" i="1"/>
  <c r="K377" i="1" s="1"/>
  <c r="N372" i="1"/>
  <c r="U372" i="1" s="1"/>
  <c r="M372" i="1"/>
  <c r="N157" i="1"/>
  <c r="U157" i="1" s="1"/>
  <c r="M157" i="1"/>
  <c r="N14" i="1"/>
  <c r="U14" i="1" s="1"/>
  <c r="M14" i="1"/>
  <c r="T14" i="1" s="1"/>
  <c r="N156" i="1"/>
  <c r="U156" i="1" s="1"/>
  <c r="M156" i="1"/>
  <c r="T156" i="1" s="1"/>
  <c r="N300" i="1"/>
  <c r="U300" i="1" s="1"/>
  <c r="M300" i="1"/>
  <c r="N133" i="1"/>
  <c r="U133" i="1" s="1"/>
  <c r="M133" i="1"/>
  <c r="T133" i="1" s="1"/>
  <c r="N302" i="1"/>
  <c r="U302" i="1" s="1"/>
  <c r="M302" i="1"/>
  <c r="T302" i="1" s="1"/>
  <c r="N279" i="1"/>
  <c r="U279" i="1" s="1"/>
  <c r="M279" i="1"/>
  <c r="T279" i="1" s="1"/>
  <c r="N304" i="1"/>
  <c r="U304" i="1" s="1"/>
  <c r="M304" i="1"/>
  <c r="N137" i="1"/>
  <c r="U137" i="1" s="1"/>
  <c r="M137" i="1"/>
  <c r="T137" i="1" s="1"/>
  <c r="N282" i="1"/>
  <c r="U282" i="1" s="1"/>
  <c r="M282" i="1"/>
  <c r="T282" i="1" s="1"/>
  <c r="N84" i="1"/>
  <c r="U84" i="1" s="1"/>
  <c r="M84" i="1"/>
  <c r="T84" i="1" s="1"/>
  <c r="N204" i="1"/>
  <c r="U204" i="1" s="1"/>
  <c r="M204" i="1"/>
  <c r="N61" i="1"/>
  <c r="U61" i="1" s="1"/>
  <c r="M61" i="1"/>
  <c r="N229" i="1"/>
  <c r="U229" i="1" s="1"/>
  <c r="M229" i="1"/>
  <c r="N301" i="1"/>
  <c r="U301" i="1" s="1"/>
  <c r="M301" i="1"/>
  <c r="N62" i="1"/>
  <c r="U62" i="1" s="1"/>
  <c r="M62" i="1"/>
  <c r="N158" i="1"/>
  <c r="U158" i="1" s="1"/>
  <c r="M158" i="1"/>
  <c r="T158" i="1" s="1"/>
  <c r="N254" i="1"/>
  <c r="U254" i="1" s="1"/>
  <c r="M254" i="1"/>
  <c r="T254" i="1" s="1"/>
  <c r="N63" i="1"/>
  <c r="U63" i="1" s="1"/>
  <c r="M63" i="1"/>
  <c r="T63" i="1" s="1"/>
  <c r="N135" i="1"/>
  <c r="U135" i="1" s="1"/>
  <c r="M135" i="1"/>
  <c r="N231" i="1"/>
  <c r="U231" i="1" s="1"/>
  <c r="M231" i="1"/>
  <c r="T231" i="1" s="1"/>
  <c r="N375" i="1"/>
  <c r="U375" i="1" s="1"/>
  <c r="M375" i="1"/>
  <c r="T375" i="1" s="1"/>
  <c r="N16" i="1"/>
  <c r="U16" i="1" s="1"/>
  <c r="M16" i="1"/>
  <c r="T16" i="1" s="1"/>
  <c r="N88" i="1"/>
  <c r="U88" i="1" s="1"/>
  <c r="M88" i="1"/>
  <c r="N160" i="1"/>
  <c r="U160" i="1" s="1"/>
  <c r="M160" i="1"/>
  <c r="N256" i="1"/>
  <c r="U256" i="1" s="1"/>
  <c r="M256" i="1"/>
  <c r="N65" i="1"/>
  <c r="U65" i="1" s="1"/>
  <c r="M65" i="1"/>
  <c r="N209" i="1"/>
  <c r="U209" i="1" s="1"/>
  <c r="M209" i="1"/>
  <c r="T209" i="1" s="1"/>
  <c r="N305" i="1"/>
  <c r="U305" i="1" s="1"/>
  <c r="M305" i="1"/>
  <c r="T305" i="1" s="1"/>
  <c r="N66" i="1"/>
  <c r="U66" i="1" s="1"/>
  <c r="M66" i="1"/>
  <c r="T66" i="1" s="1"/>
  <c r="N138" i="1"/>
  <c r="U138" i="1" s="1"/>
  <c r="M138" i="1"/>
  <c r="T138" i="1" s="1"/>
  <c r="N186" i="1"/>
  <c r="U186" i="1" s="1"/>
  <c r="M186" i="1"/>
  <c r="N234" i="1"/>
  <c r="U234" i="1" s="1"/>
  <c r="M234" i="1"/>
  <c r="T234" i="1" s="1"/>
  <c r="M91" i="1"/>
  <c r="T91" i="1" s="1"/>
  <c r="N91" i="1"/>
  <c r="U91" i="1" s="1"/>
  <c r="M211" i="1"/>
  <c r="T211" i="1" s="1"/>
  <c r="N211" i="1"/>
  <c r="U211" i="1" s="1"/>
  <c r="M331" i="1"/>
  <c r="N331" i="1"/>
  <c r="U331" i="1" s="1"/>
  <c r="M92" i="1"/>
  <c r="N92" i="1"/>
  <c r="U92" i="1" s="1"/>
  <c r="M188" i="1"/>
  <c r="N188" i="1"/>
  <c r="U188" i="1" s="1"/>
  <c r="M308" i="1"/>
  <c r="N308" i="1"/>
  <c r="U308" i="1" s="1"/>
  <c r="M117" i="1"/>
  <c r="T117" i="1" s="1"/>
  <c r="N117" i="1"/>
  <c r="U117" i="1" s="1"/>
  <c r="N36" i="1"/>
  <c r="U36" i="1" s="1"/>
  <c r="M36" i="1"/>
  <c r="N60" i="1"/>
  <c r="U60" i="1" s="1"/>
  <c r="M60" i="1"/>
  <c r="T60" i="1" s="1"/>
  <c r="N180" i="1"/>
  <c r="U180" i="1" s="1"/>
  <c r="M180" i="1"/>
  <c r="T180" i="1" s="1"/>
  <c r="N37" i="1"/>
  <c r="U37" i="1" s="1"/>
  <c r="M37" i="1"/>
  <c r="N181" i="1"/>
  <c r="U181" i="1" s="1"/>
  <c r="M181" i="1"/>
  <c r="T181" i="1" s="1"/>
  <c r="N253" i="1"/>
  <c r="U253" i="1" s="1"/>
  <c r="M253" i="1"/>
  <c r="T253" i="1" s="1"/>
  <c r="N373" i="1"/>
  <c r="U373" i="1" s="1"/>
  <c r="M373" i="1"/>
  <c r="T373" i="1" s="1"/>
  <c r="N38" i="1"/>
  <c r="U38" i="1" s="1"/>
  <c r="M38" i="1"/>
  <c r="N134" i="1"/>
  <c r="U134" i="1" s="1"/>
  <c r="M134" i="1"/>
  <c r="N230" i="1"/>
  <c r="U230" i="1" s="1"/>
  <c r="M230" i="1"/>
  <c r="N350" i="1"/>
  <c r="U350" i="1" s="1"/>
  <c r="M350" i="1"/>
  <c r="N39" i="1"/>
  <c r="U39" i="1" s="1"/>
  <c r="M39" i="1"/>
  <c r="T39" i="1" s="1"/>
  <c r="N111" i="1"/>
  <c r="U111" i="1" s="1"/>
  <c r="M111" i="1"/>
  <c r="T111" i="1" s="1"/>
  <c r="N159" i="1"/>
  <c r="U159" i="1" s="1"/>
  <c r="M159" i="1"/>
  <c r="T159" i="1" s="1"/>
  <c r="N207" i="1"/>
  <c r="U207" i="1" s="1"/>
  <c r="M207" i="1"/>
  <c r="T207" i="1" s="1"/>
  <c r="N351" i="1"/>
  <c r="U351" i="1" s="1"/>
  <c r="M351" i="1"/>
  <c r="T351" i="1" s="1"/>
  <c r="N64" i="1"/>
  <c r="U64" i="1" s="1"/>
  <c r="M64" i="1"/>
  <c r="T64" i="1" s="1"/>
  <c r="N136" i="1"/>
  <c r="U136" i="1" s="1"/>
  <c r="M136" i="1"/>
  <c r="T136" i="1" s="1"/>
  <c r="N208" i="1"/>
  <c r="U208" i="1" s="1"/>
  <c r="M208" i="1"/>
  <c r="T208" i="1" s="1"/>
  <c r="N41" i="1"/>
  <c r="U41" i="1" s="1"/>
  <c r="M41" i="1"/>
  <c r="N161" i="1"/>
  <c r="U161" i="1" s="1"/>
  <c r="M161" i="1"/>
  <c r="N257" i="1"/>
  <c r="U257" i="1" s="1"/>
  <c r="M257" i="1"/>
  <c r="N114" i="1"/>
  <c r="U114" i="1" s="1"/>
  <c r="M114" i="1"/>
  <c r="N210" i="1"/>
  <c r="U210" i="1" s="1"/>
  <c r="M210" i="1"/>
  <c r="T210" i="1" s="1"/>
  <c r="M43" i="1"/>
  <c r="T43" i="1" s="1"/>
  <c r="N43" i="1"/>
  <c r="U43" i="1" s="1"/>
  <c r="M115" i="1"/>
  <c r="T115" i="1" s="1"/>
  <c r="N115" i="1"/>
  <c r="U115" i="1" s="1"/>
  <c r="M259" i="1"/>
  <c r="T259" i="1" s="1"/>
  <c r="N259" i="1"/>
  <c r="U259" i="1" s="1"/>
  <c r="M44" i="1"/>
  <c r="N44" i="1"/>
  <c r="U44" i="1" s="1"/>
  <c r="M140" i="1"/>
  <c r="T140" i="1" s="1"/>
  <c r="N140" i="1"/>
  <c r="U140" i="1" s="1"/>
  <c r="M236" i="1"/>
  <c r="T236" i="1" s="1"/>
  <c r="N236" i="1"/>
  <c r="U236" i="1" s="1"/>
  <c r="M260" i="1"/>
  <c r="T260" i="1" s="1"/>
  <c r="N260" i="1"/>
  <c r="U260" i="1" s="1"/>
  <c r="M332" i="1"/>
  <c r="N332" i="1"/>
  <c r="U332" i="1" s="1"/>
  <c r="M21" i="1"/>
  <c r="N21" i="1"/>
  <c r="U21" i="1" s="1"/>
  <c r="M189" i="1"/>
  <c r="N189" i="1"/>
  <c r="U189" i="1" s="1"/>
  <c r="M142" i="1"/>
  <c r="T142" i="1" s="1"/>
  <c r="N142" i="1"/>
  <c r="U142" i="1" s="1"/>
  <c r="N349" i="1"/>
  <c r="U349" i="1" s="1"/>
  <c r="M349" i="1"/>
  <c r="N352" i="1"/>
  <c r="U352" i="1" s="1"/>
  <c r="M352" i="1"/>
  <c r="T352" i="1" s="1"/>
  <c r="M19" i="1"/>
  <c r="T19" i="1" s="1"/>
  <c r="N19" i="1"/>
  <c r="U19" i="1" s="1"/>
  <c r="N348" i="1"/>
  <c r="U348" i="1" s="1"/>
  <c r="M348" i="1"/>
  <c r="T348" i="1" s="1"/>
  <c r="N327" i="1"/>
  <c r="U327" i="1" s="1"/>
  <c r="M327" i="1"/>
  <c r="T327" i="1" s="1"/>
  <c r="M309" i="1"/>
  <c r="T309" i="1" s="1"/>
  <c r="N309" i="1"/>
  <c r="U309" i="1" s="1"/>
  <c r="M235" i="1"/>
  <c r="T235" i="1" s="1"/>
  <c r="N235" i="1"/>
  <c r="U235" i="1" s="1"/>
  <c r="M165" i="1"/>
  <c r="T165" i="1" s="1"/>
  <c r="N165" i="1"/>
  <c r="U165" i="1" s="1"/>
  <c r="N13" i="1"/>
  <c r="U13" i="1" s="1"/>
  <c r="M13" i="1"/>
  <c r="N353" i="1"/>
  <c r="U353" i="1" s="1"/>
  <c r="M353" i="1"/>
  <c r="M139" i="1"/>
  <c r="N139" i="1"/>
  <c r="U139" i="1" s="1"/>
  <c r="M213" i="1"/>
  <c r="N213" i="1"/>
  <c r="U213" i="1" s="1"/>
  <c r="N264" i="1"/>
  <c r="U264" i="1" s="1"/>
  <c r="M264" i="1"/>
  <c r="N242" i="1"/>
  <c r="U242" i="1" s="1"/>
  <c r="M242" i="1"/>
  <c r="T242" i="1" s="1"/>
  <c r="N12" i="1"/>
  <c r="U12" i="1" s="1"/>
  <c r="M12" i="1"/>
  <c r="T12" i="1" s="1"/>
  <c r="N110" i="1"/>
  <c r="U110" i="1" s="1"/>
  <c r="M110" i="1"/>
  <c r="T110" i="1" s="1"/>
  <c r="M283" i="1"/>
  <c r="N283" i="1"/>
  <c r="U283" i="1" s="1"/>
  <c r="M93" i="1"/>
  <c r="T93" i="1" s="1"/>
  <c r="N93" i="1"/>
  <c r="U93" i="1" s="1"/>
  <c r="N266" i="1"/>
  <c r="U266" i="1" s="1"/>
  <c r="M266" i="1"/>
  <c r="T266" i="1" s="1"/>
  <c r="N276" i="1"/>
  <c r="U276" i="1" s="1"/>
  <c r="M276" i="1"/>
  <c r="T276" i="1" s="1"/>
  <c r="N354" i="1"/>
  <c r="U354" i="1" s="1"/>
  <c r="M354" i="1"/>
  <c r="M357" i="1"/>
  <c r="N357" i="1"/>
  <c r="U357" i="1" s="1"/>
  <c r="N240" i="1"/>
  <c r="U240" i="1" s="1"/>
  <c r="M240" i="1"/>
  <c r="N123" i="1"/>
  <c r="U123" i="1" s="1"/>
  <c r="M123" i="1"/>
  <c r="N374" i="1"/>
  <c r="U374" i="1" s="1"/>
  <c r="M374" i="1"/>
  <c r="N329" i="1"/>
  <c r="U329" i="1" s="1"/>
  <c r="M329" i="1"/>
  <c r="T329" i="1" s="1"/>
  <c r="M164" i="1"/>
  <c r="T164" i="1" s="1"/>
  <c r="N164" i="1"/>
  <c r="U164" i="1" s="1"/>
  <c r="M358" i="1"/>
  <c r="T358" i="1" s="1"/>
  <c r="N358" i="1"/>
  <c r="U358" i="1" s="1"/>
  <c r="N124" i="1"/>
  <c r="U124" i="1" s="1"/>
  <c r="M124" i="1"/>
  <c r="N324" i="1"/>
  <c r="U324" i="1" s="1"/>
  <c r="M324" i="1"/>
  <c r="T324" i="1" s="1"/>
  <c r="N109" i="1"/>
  <c r="U109" i="1" s="1"/>
  <c r="M109" i="1"/>
  <c r="T109" i="1" s="1"/>
  <c r="N326" i="1"/>
  <c r="U326" i="1" s="1"/>
  <c r="M326" i="1"/>
  <c r="T326" i="1" s="1"/>
  <c r="N303" i="1"/>
  <c r="U303" i="1" s="1"/>
  <c r="M303" i="1"/>
  <c r="N328" i="1"/>
  <c r="U328" i="1" s="1"/>
  <c r="M328" i="1"/>
  <c r="N113" i="1"/>
  <c r="U113" i="1" s="1"/>
  <c r="M113" i="1"/>
  <c r="N306" i="1"/>
  <c r="U306" i="1" s="1"/>
  <c r="M306" i="1"/>
  <c r="M163" i="1"/>
  <c r="N163" i="1"/>
  <c r="U163" i="1" s="1"/>
  <c r="M356" i="1"/>
  <c r="T356" i="1" s="1"/>
  <c r="N356" i="1"/>
  <c r="U356" i="1" s="1"/>
  <c r="M45" i="1"/>
  <c r="T45" i="1" s="1"/>
  <c r="N45" i="1"/>
  <c r="U45" i="1" s="1"/>
  <c r="M262" i="1"/>
  <c r="T262" i="1" s="1"/>
  <c r="N262" i="1"/>
  <c r="U262" i="1" s="1"/>
  <c r="N24" i="1"/>
  <c r="U24" i="1" s="1"/>
  <c r="M24" i="1"/>
  <c r="N145" i="1"/>
  <c r="U145" i="1" s="1"/>
  <c r="M145" i="1"/>
  <c r="T145" i="1" s="1"/>
  <c r="N338" i="1"/>
  <c r="U338" i="1" s="1"/>
  <c r="M338" i="1"/>
  <c r="T338" i="1" s="1"/>
  <c r="N27" i="1"/>
  <c r="U27" i="1" s="1"/>
  <c r="M27" i="1"/>
  <c r="T27" i="1" s="1"/>
  <c r="N294" i="1"/>
  <c r="U294" i="1" s="1"/>
  <c r="M294" i="1"/>
  <c r="N56" i="1"/>
  <c r="U56" i="1" s="1"/>
  <c r="M56" i="1"/>
  <c r="N80" i="1"/>
  <c r="U80" i="1" s="1"/>
  <c r="M80" i="1"/>
  <c r="N104" i="1"/>
  <c r="U104" i="1" s="1"/>
  <c r="M104" i="1"/>
  <c r="N152" i="1"/>
  <c r="U152" i="1" s="1"/>
  <c r="M152" i="1"/>
  <c r="N176" i="1"/>
  <c r="U176" i="1" s="1"/>
  <c r="M176" i="1"/>
  <c r="T176" i="1" s="1"/>
  <c r="N200" i="1"/>
  <c r="U200" i="1" s="1"/>
  <c r="M200" i="1"/>
  <c r="N224" i="1"/>
  <c r="U224" i="1" s="1"/>
  <c r="M224" i="1"/>
  <c r="T224" i="1" s="1"/>
  <c r="N272" i="1"/>
  <c r="U272" i="1" s="1"/>
  <c r="M272" i="1"/>
  <c r="N296" i="1"/>
  <c r="U296" i="1" s="1"/>
  <c r="M296" i="1"/>
  <c r="T296" i="1" s="1"/>
  <c r="N320" i="1"/>
  <c r="U320" i="1" s="1"/>
  <c r="M320" i="1"/>
  <c r="T320" i="1" s="1"/>
  <c r="N344" i="1"/>
  <c r="U344" i="1" s="1"/>
  <c r="M344" i="1"/>
  <c r="T344" i="1" s="1"/>
  <c r="N368" i="1"/>
  <c r="U368" i="1" s="1"/>
  <c r="M368" i="1"/>
  <c r="N252" i="1"/>
  <c r="U252" i="1" s="1"/>
  <c r="M252" i="1"/>
  <c r="N325" i="1"/>
  <c r="U325" i="1" s="1"/>
  <c r="M325" i="1"/>
  <c r="T325" i="1" s="1"/>
  <c r="N206" i="1"/>
  <c r="U206" i="1" s="1"/>
  <c r="M206" i="1"/>
  <c r="N15" i="1"/>
  <c r="U15" i="1" s="1"/>
  <c r="M15" i="1"/>
  <c r="T15" i="1" s="1"/>
  <c r="N232" i="1"/>
  <c r="U232" i="1" s="1"/>
  <c r="M232" i="1"/>
  <c r="T232" i="1" s="1"/>
  <c r="N233" i="1"/>
  <c r="U233" i="1" s="1"/>
  <c r="M233" i="1"/>
  <c r="N330" i="1"/>
  <c r="U330" i="1" s="1"/>
  <c r="M330" i="1"/>
  <c r="T330" i="1" s="1"/>
  <c r="M355" i="1"/>
  <c r="N355" i="1"/>
  <c r="U355" i="1" s="1"/>
  <c r="M68" i="1"/>
  <c r="T68" i="1" s="1"/>
  <c r="N68" i="1"/>
  <c r="U68" i="1" s="1"/>
  <c r="M310" i="1"/>
  <c r="T310" i="1" s="1"/>
  <c r="N310" i="1"/>
  <c r="U310" i="1" s="1"/>
  <c r="M335" i="1"/>
  <c r="T335" i="1" s="1"/>
  <c r="N335" i="1"/>
  <c r="U335" i="1" s="1"/>
  <c r="N336" i="1"/>
  <c r="U336" i="1" s="1"/>
  <c r="M336" i="1"/>
  <c r="N193" i="1"/>
  <c r="U193" i="1" s="1"/>
  <c r="M193" i="1"/>
  <c r="T193" i="1" s="1"/>
  <c r="N172" i="1"/>
  <c r="U172" i="1" s="1"/>
  <c r="M172" i="1"/>
  <c r="N128" i="1"/>
  <c r="U128" i="1" s="1"/>
  <c r="M128" i="1"/>
  <c r="N33" i="1"/>
  <c r="U33" i="1" s="1"/>
  <c r="M33" i="1"/>
  <c r="N57" i="1"/>
  <c r="U57" i="1" s="1"/>
  <c r="M57" i="1"/>
  <c r="T57" i="1" s="1"/>
  <c r="N81" i="1"/>
  <c r="U81" i="1" s="1"/>
  <c r="M81" i="1"/>
  <c r="T81" i="1" s="1"/>
  <c r="N105" i="1"/>
  <c r="U105" i="1" s="1"/>
  <c r="M105" i="1"/>
  <c r="T105" i="1" s="1"/>
  <c r="N129" i="1"/>
  <c r="U129" i="1" s="1"/>
  <c r="M129" i="1"/>
  <c r="N153" i="1"/>
  <c r="U153" i="1" s="1"/>
  <c r="M153" i="1"/>
  <c r="T153" i="1" s="1"/>
  <c r="N177" i="1"/>
  <c r="U177" i="1" s="1"/>
  <c r="M177" i="1"/>
  <c r="T177" i="1" s="1"/>
  <c r="N201" i="1"/>
  <c r="U201" i="1" s="1"/>
  <c r="M201" i="1"/>
  <c r="T201" i="1" s="1"/>
  <c r="N225" i="1"/>
  <c r="U225" i="1" s="1"/>
  <c r="M225" i="1"/>
  <c r="N249" i="1"/>
  <c r="U249" i="1" s="1"/>
  <c r="M249" i="1"/>
  <c r="N273" i="1"/>
  <c r="U273" i="1" s="1"/>
  <c r="M273" i="1"/>
  <c r="N297" i="1"/>
  <c r="U297" i="1" s="1"/>
  <c r="M297" i="1"/>
  <c r="N321" i="1"/>
  <c r="U321" i="1" s="1"/>
  <c r="M321" i="1"/>
  <c r="N345" i="1"/>
  <c r="U345" i="1" s="1"/>
  <c r="M345" i="1"/>
  <c r="N369" i="1"/>
  <c r="U369" i="1" s="1"/>
  <c r="M369" i="1"/>
  <c r="T369" i="1" s="1"/>
  <c r="N132" i="1"/>
  <c r="U132" i="1" s="1"/>
  <c r="M132" i="1"/>
  <c r="T132" i="1" s="1"/>
  <c r="N42" i="1"/>
  <c r="U42" i="1" s="1"/>
  <c r="M42" i="1"/>
  <c r="T42" i="1" s="1"/>
  <c r="N151" i="1"/>
  <c r="U151" i="1" s="1"/>
  <c r="M151" i="1"/>
  <c r="T151" i="1" s="1"/>
  <c r="N346" i="1"/>
  <c r="U346" i="1" s="1"/>
  <c r="M346" i="1"/>
  <c r="T346" i="1" s="1"/>
  <c r="N108" i="1"/>
  <c r="U108" i="1" s="1"/>
  <c r="M108" i="1"/>
  <c r="T108" i="1" s="1"/>
  <c r="N228" i="1"/>
  <c r="U228" i="1" s="1"/>
  <c r="M228" i="1"/>
  <c r="N85" i="1"/>
  <c r="U85" i="1" s="1"/>
  <c r="M85" i="1"/>
  <c r="T85" i="1" s="1"/>
  <c r="N205" i="1"/>
  <c r="U205" i="1" s="1"/>
  <c r="M205" i="1"/>
  <c r="N277" i="1"/>
  <c r="U277" i="1" s="1"/>
  <c r="M277" i="1"/>
  <c r="N86" i="1"/>
  <c r="U86" i="1" s="1"/>
  <c r="M86" i="1"/>
  <c r="N182" i="1"/>
  <c r="U182" i="1" s="1"/>
  <c r="M182" i="1"/>
  <c r="T182" i="1" s="1"/>
  <c r="N278" i="1"/>
  <c r="U278" i="1" s="1"/>
  <c r="M278" i="1"/>
  <c r="T278" i="1" s="1"/>
  <c r="N87" i="1"/>
  <c r="U87" i="1" s="1"/>
  <c r="M87" i="1"/>
  <c r="T87" i="1" s="1"/>
  <c r="N183" i="1"/>
  <c r="U183" i="1" s="1"/>
  <c r="M183" i="1"/>
  <c r="T183" i="1" s="1"/>
  <c r="N255" i="1"/>
  <c r="U255" i="1" s="1"/>
  <c r="M255" i="1"/>
  <c r="T255" i="1" s="1"/>
  <c r="N40" i="1"/>
  <c r="U40" i="1" s="1"/>
  <c r="M40" i="1"/>
  <c r="T40" i="1" s="1"/>
  <c r="N112" i="1"/>
  <c r="U112" i="1" s="1"/>
  <c r="M112" i="1"/>
  <c r="T112" i="1" s="1"/>
  <c r="N184" i="1"/>
  <c r="U184" i="1" s="1"/>
  <c r="M184" i="1"/>
  <c r="N280" i="1"/>
  <c r="U280" i="1" s="1"/>
  <c r="M280" i="1"/>
  <c r="N17" i="1"/>
  <c r="U17" i="1" s="1"/>
  <c r="M17" i="1"/>
  <c r="N89" i="1"/>
  <c r="U89" i="1" s="1"/>
  <c r="M89" i="1"/>
  <c r="T89" i="1" s="1"/>
  <c r="N185" i="1"/>
  <c r="U185" i="1" s="1"/>
  <c r="M185" i="1"/>
  <c r="T185" i="1" s="1"/>
  <c r="N281" i="1"/>
  <c r="U281" i="1" s="1"/>
  <c r="M281" i="1"/>
  <c r="T281" i="1" s="1"/>
  <c r="N18" i="1"/>
  <c r="U18" i="1" s="1"/>
  <c r="M18" i="1"/>
  <c r="T18" i="1" s="1"/>
  <c r="N90" i="1"/>
  <c r="U90" i="1" s="1"/>
  <c r="M90" i="1"/>
  <c r="T90" i="1" s="1"/>
  <c r="N162" i="1"/>
  <c r="U162" i="1" s="1"/>
  <c r="M162" i="1"/>
  <c r="T162" i="1" s="1"/>
  <c r="N258" i="1"/>
  <c r="U258" i="1" s="1"/>
  <c r="M258" i="1"/>
  <c r="T258" i="1" s="1"/>
  <c r="M67" i="1"/>
  <c r="T67" i="1" s="1"/>
  <c r="N67" i="1"/>
  <c r="U67" i="1" s="1"/>
  <c r="M187" i="1"/>
  <c r="T187" i="1" s="1"/>
  <c r="N187" i="1"/>
  <c r="U187" i="1" s="1"/>
  <c r="M307" i="1"/>
  <c r="N307" i="1"/>
  <c r="U307" i="1" s="1"/>
  <c r="M20" i="1"/>
  <c r="N20" i="1"/>
  <c r="U20" i="1" s="1"/>
  <c r="M116" i="1"/>
  <c r="N116" i="1"/>
  <c r="U116" i="1" s="1"/>
  <c r="M212" i="1"/>
  <c r="N212" i="1"/>
  <c r="U212" i="1" s="1"/>
  <c r="M284" i="1"/>
  <c r="T284" i="1" s="1"/>
  <c r="N284" i="1"/>
  <c r="U284" i="1" s="1"/>
  <c r="M69" i="1"/>
  <c r="N69" i="1"/>
  <c r="U69" i="1" s="1"/>
  <c r="M141" i="1"/>
  <c r="T141" i="1" s="1"/>
  <c r="N141" i="1"/>
  <c r="U141" i="1" s="1"/>
  <c r="M237" i="1"/>
  <c r="T237" i="1" s="1"/>
  <c r="N237" i="1"/>
  <c r="U237" i="1" s="1"/>
  <c r="M261" i="1"/>
  <c r="T261" i="1" s="1"/>
  <c r="N261" i="1"/>
  <c r="U261" i="1" s="1"/>
  <c r="M285" i="1"/>
  <c r="T285" i="1" s="1"/>
  <c r="N285" i="1"/>
  <c r="U285" i="1" s="1"/>
  <c r="M333" i="1"/>
  <c r="T333" i="1" s="1"/>
  <c r="N333" i="1"/>
  <c r="U333" i="1" s="1"/>
  <c r="M22" i="1"/>
  <c r="T22" i="1" s="1"/>
  <c r="N22" i="1"/>
  <c r="U22" i="1" s="1"/>
  <c r="M46" i="1"/>
  <c r="T46" i="1" s="1"/>
  <c r="N46" i="1"/>
  <c r="U46" i="1" s="1"/>
  <c r="M70" i="1"/>
  <c r="N70" i="1"/>
  <c r="U70" i="1" s="1"/>
  <c r="M94" i="1"/>
  <c r="N94" i="1"/>
  <c r="U94" i="1" s="1"/>
  <c r="M118" i="1"/>
  <c r="T118" i="1" s="1"/>
  <c r="N118" i="1"/>
  <c r="U118" i="1" s="1"/>
  <c r="M166" i="1"/>
  <c r="T166" i="1" s="1"/>
  <c r="N166" i="1"/>
  <c r="U166" i="1" s="1"/>
  <c r="M190" i="1"/>
  <c r="T190" i="1" s="1"/>
  <c r="N190" i="1"/>
  <c r="U190" i="1" s="1"/>
  <c r="M214" i="1"/>
  <c r="T214" i="1" s="1"/>
  <c r="N214" i="1"/>
  <c r="U214" i="1" s="1"/>
  <c r="M238" i="1"/>
  <c r="T238" i="1" s="1"/>
  <c r="N238" i="1"/>
  <c r="U238" i="1" s="1"/>
  <c r="M286" i="1"/>
  <c r="T286" i="1" s="1"/>
  <c r="N286" i="1"/>
  <c r="U286" i="1" s="1"/>
  <c r="M334" i="1"/>
  <c r="T334" i="1" s="1"/>
  <c r="N334" i="1"/>
  <c r="U334" i="1" s="1"/>
  <c r="M23" i="1"/>
  <c r="T23" i="1" s="1"/>
  <c r="N23" i="1"/>
  <c r="U23" i="1" s="1"/>
  <c r="M47" i="1"/>
  <c r="T47" i="1" s="1"/>
  <c r="N47" i="1"/>
  <c r="U47" i="1" s="1"/>
  <c r="M71" i="1"/>
  <c r="T71" i="1" s="1"/>
  <c r="N71" i="1"/>
  <c r="U71" i="1" s="1"/>
  <c r="M95" i="1"/>
  <c r="N95" i="1"/>
  <c r="U95" i="1" s="1"/>
  <c r="M119" i="1"/>
  <c r="N119" i="1"/>
  <c r="U119" i="1" s="1"/>
  <c r="M143" i="1"/>
  <c r="T143" i="1" s="1"/>
  <c r="N143" i="1"/>
  <c r="U143" i="1" s="1"/>
  <c r="M167" i="1"/>
  <c r="T167" i="1" s="1"/>
  <c r="N167" i="1"/>
  <c r="U167" i="1" s="1"/>
  <c r="M191" i="1"/>
  <c r="T191" i="1" s="1"/>
  <c r="N191" i="1"/>
  <c r="U191" i="1" s="1"/>
  <c r="M215" i="1"/>
  <c r="T215" i="1" s="1"/>
  <c r="N215" i="1"/>
  <c r="U215" i="1" s="1"/>
  <c r="M239" i="1"/>
  <c r="T239" i="1" s="1"/>
  <c r="N239" i="1"/>
  <c r="U239" i="1" s="1"/>
  <c r="M263" i="1"/>
  <c r="T263" i="1" s="1"/>
  <c r="N263" i="1"/>
  <c r="U263" i="1" s="1"/>
  <c r="M287" i="1"/>
  <c r="T287" i="1" s="1"/>
  <c r="N287" i="1"/>
  <c r="U287" i="1" s="1"/>
  <c r="M311" i="1"/>
  <c r="T311" i="1" s="1"/>
  <c r="N311" i="1"/>
  <c r="U311" i="1" s="1"/>
  <c r="M359" i="1"/>
  <c r="T359" i="1" s="1"/>
  <c r="N359" i="1"/>
  <c r="U359" i="1" s="1"/>
  <c r="N48" i="1"/>
  <c r="U48" i="1" s="1"/>
  <c r="M48" i="1"/>
  <c r="N72" i="1"/>
  <c r="U72" i="1" s="1"/>
  <c r="M72" i="1"/>
  <c r="N96" i="1"/>
  <c r="U96" i="1" s="1"/>
  <c r="M96" i="1"/>
  <c r="T96" i="1" s="1"/>
  <c r="N120" i="1"/>
  <c r="U120" i="1" s="1"/>
  <c r="M120" i="1"/>
  <c r="N144" i="1"/>
  <c r="U144" i="1" s="1"/>
  <c r="M144" i="1"/>
  <c r="T144" i="1" s="1"/>
  <c r="N168" i="1"/>
  <c r="U168" i="1" s="1"/>
  <c r="M168" i="1"/>
  <c r="T168" i="1" s="1"/>
  <c r="N192" i="1"/>
  <c r="U192" i="1" s="1"/>
  <c r="M192" i="1"/>
  <c r="N216" i="1"/>
  <c r="U216" i="1" s="1"/>
  <c r="M216" i="1"/>
  <c r="T216" i="1" s="1"/>
  <c r="N288" i="1"/>
  <c r="U288" i="1" s="1"/>
  <c r="M288" i="1"/>
  <c r="T288" i="1" s="1"/>
  <c r="N312" i="1"/>
  <c r="U312" i="1" s="1"/>
  <c r="M312" i="1"/>
  <c r="T312" i="1" s="1"/>
  <c r="N360" i="1"/>
  <c r="U360" i="1" s="1"/>
  <c r="M360" i="1"/>
  <c r="T360" i="1" s="1"/>
  <c r="N25" i="1"/>
  <c r="U25" i="1" s="1"/>
  <c r="M25" i="1"/>
  <c r="T25" i="1" s="1"/>
  <c r="N49" i="1"/>
  <c r="U49" i="1" s="1"/>
  <c r="M49" i="1"/>
  <c r="N73" i="1"/>
  <c r="U73" i="1" s="1"/>
  <c r="M73" i="1"/>
  <c r="T73" i="1" s="1"/>
  <c r="N97" i="1"/>
  <c r="U97" i="1" s="1"/>
  <c r="M97" i="1"/>
  <c r="N121" i="1"/>
  <c r="U121" i="1" s="1"/>
  <c r="M121" i="1"/>
  <c r="N169" i="1"/>
  <c r="U169" i="1" s="1"/>
  <c r="M169" i="1"/>
  <c r="N217" i="1"/>
  <c r="U217" i="1" s="1"/>
  <c r="M217" i="1"/>
  <c r="T217" i="1" s="1"/>
  <c r="N241" i="1"/>
  <c r="U241" i="1" s="1"/>
  <c r="M241" i="1"/>
  <c r="N265" i="1"/>
  <c r="U265" i="1" s="1"/>
  <c r="M265" i="1"/>
  <c r="T265" i="1" s="1"/>
  <c r="N289" i="1"/>
  <c r="U289" i="1" s="1"/>
  <c r="M289" i="1"/>
  <c r="T289" i="1" s="1"/>
  <c r="N313" i="1"/>
  <c r="U313" i="1" s="1"/>
  <c r="M313" i="1"/>
  <c r="T313" i="1" s="1"/>
  <c r="N337" i="1"/>
  <c r="U337" i="1" s="1"/>
  <c r="M337" i="1"/>
  <c r="T337" i="1" s="1"/>
  <c r="N361" i="1"/>
  <c r="U361" i="1" s="1"/>
  <c r="M361" i="1"/>
  <c r="T361" i="1" s="1"/>
  <c r="N26" i="1"/>
  <c r="U26" i="1" s="1"/>
  <c r="M26" i="1"/>
  <c r="N50" i="1"/>
  <c r="U50" i="1" s="1"/>
  <c r="M50" i="1"/>
  <c r="N74" i="1"/>
  <c r="U74" i="1" s="1"/>
  <c r="M74" i="1"/>
  <c r="N98" i="1"/>
  <c r="U98" i="1" s="1"/>
  <c r="M98" i="1"/>
  <c r="T98" i="1" s="1"/>
  <c r="N122" i="1"/>
  <c r="U122" i="1" s="1"/>
  <c r="M122" i="1"/>
  <c r="T122" i="1" s="1"/>
  <c r="N146" i="1"/>
  <c r="U146" i="1" s="1"/>
  <c r="M146" i="1"/>
  <c r="T146" i="1" s="1"/>
  <c r="N170" i="1"/>
  <c r="U170" i="1" s="1"/>
  <c r="M170" i="1"/>
  <c r="T170" i="1" s="1"/>
  <c r="N194" i="1"/>
  <c r="U194" i="1" s="1"/>
  <c r="M194" i="1"/>
  <c r="T194" i="1" s="1"/>
  <c r="N218" i="1"/>
  <c r="U218" i="1" s="1"/>
  <c r="M218" i="1"/>
  <c r="T218" i="1" s="1"/>
  <c r="N290" i="1"/>
  <c r="U290" i="1" s="1"/>
  <c r="M290" i="1"/>
  <c r="T290" i="1" s="1"/>
  <c r="N314" i="1"/>
  <c r="U314" i="1" s="1"/>
  <c r="M314" i="1"/>
  <c r="T314" i="1" s="1"/>
  <c r="N362" i="1"/>
  <c r="U362" i="1" s="1"/>
  <c r="M362" i="1"/>
  <c r="T362" i="1" s="1"/>
  <c r="N51" i="1"/>
  <c r="U51" i="1" s="1"/>
  <c r="M51" i="1"/>
  <c r="N75" i="1"/>
  <c r="U75" i="1" s="1"/>
  <c r="M75" i="1"/>
  <c r="T75" i="1" s="1"/>
  <c r="N99" i="1"/>
  <c r="U99" i="1" s="1"/>
  <c r="M99" i="1"/>
  <c r="T99" i="1" s="1"/>
  <c r="N147" i="1"/>
  <c r="U147" i="1" s="1"/>
  <c r="M147" i="1"/>
  <c r="N171" i="1"/>
  <c r="U171" i="1" s="1"/>
  <c r="M171" i="1"/>
  <c r="N195" i="1"/>
  <c r="U195" i="1" s="1"/>
  <c r="M195" i="1"/>
  <c r="T195" i="1" s="1"/>
  <c r="N219" i="1"/>
  <c r="U219" i="1" s="1"/>
  <c r="M219" i="1"/>
  <c r="T219" i="1" s="1"/>
  <c r="N243" i="1"/>
  <c r="U243" i="1" s="1"/>
  <c r="M243" i="1"/>
  <c r="T243" i="1" s="1"/>
  <c r="N267" i="1"/>
  <c r="U267" i="1" s="1"/>
  <c r="M267" i="1"/>
  <c r="T267" i="1" s="1"/>
  <c r="N291" i="1"/>
  <c r="U291" i="1" s="1"/>
  <c r="M291" i="1"/>
  <c r="T291" i="1" s="1"/>
  <c r="N315" i="1"/>
  <c r="U315" i="1" s="1"/>
  <c r="M315" i="1"/>
  <c r="T315" i="1" s="1"/>
  <c r="N339" i="1"/>
  <c r="U339" i="1" s="1"/>
  <c r="M339" i="1"/>
  <c r="T339" i="1" s="1"/>
  <c r="N363" i="1"/>
  <c r="U363" i="1" s="1"/>
  <c r="M363" i="1"/>
  <c r="N28" i="1"/>
  <c r="U28" i="1" s="1"/>
  <c r="M28" i="1"/>
  <c r="N52" i="1"/>
  <c r="U52" i="1" s="1"/>
  <c r="M52" i="1"/>
  <c r="N76" i="1"/>
  <c r="U76" i="1" s="1"/>
  <c r="M76" i="1"/>
  <c r="N100" i="1"/>
  <c r="U100" i="1" s="1"/>
  <c r="M100" i="1"/>
  <c r="T100" i="1" s="1"/>
  <c r="N148" i="1"/>
  <c r="U148" i="1" s="1"/>
  <c r="M148" i="1"/>
  <c r="T148" i="1" s="1"/>
  <c r="N196" i="1"/>
  <c r="U196" i="1" s="1"/>
  <c r="M196" i="1"/>
  <c r="T196" i="1" s="1"/>
  <c r="N220" i="1"/>
  <c r="U220" i="1" s="1"/>
  <c r="M220" i="1"/>
  <c r="T220" i="1" s="1"/>
  <c r="N244" i="1"/>
  <c r="U244" i="1" s="1"/>
  <c r="M244" i="1"/>
  <c r="T244" i="1" s="1"/>
  <c r="N268" i="1"/>
  <c r="U268" i="1" s="1"/>
  <c r="M268" i="1"/>
  <c r="T268" i="1" s="1"/>
  <c r="N292" i="1"/>
  <c r="U292" i="1" s="1"/>
  <c r="M292" i="1"/>
  <c r="T292" i="1" s="1"/>
  <c r="N316" i="1"/>
  <c r="U316" i="1" s="1"/>
  <c r="M316" i="1"/>
  <c r="T316" i="1" s="1"/>
  <c r="N340" i="1"/>
  <c r="U340" i="1" s="1"/>
  <c r="M340" i="1"/>
  <c r="N364" i="1"/>
  <c r="U364" i="1" s="1"/>
  <c r="M364" i="1"/>
  <c r="N29" i="1"/>
  <c r="U29" i="1" s="1"/>
  <c r="M29" i="1"/>
  <c r="N53" i="1"/>
  <c r="U53" i="1" s="1"/>
  <c r="M53" i="1"/>
  <c r="N77" i="1"/>
  <c r="U77" i="1" s="1"/>
  <c r="M77" i="1"/>
  <c r="T77" i="1" s="1"/>
  <c r="N101" i="1"/>
  <c r="U101" i="1" s="1"/>
  <c r="M101" i="1"/>
  <c r="N125" i="1"/>
  <c r="U125" i="1" s="1"/>
  <c r="M125" i="1"/>
  <c r="T125" i="1" s="1"/>
  <c r="N149" i="1"/>
  <c r="U149" i="1" s="1"/>
  <c r="M149" i="1"/>
  <c r="T149" i="1" s="1"/>
  <c r="N173" i="1"/>
  <c r="U173" i="1" s="1"/>
  <c r="M173" i="1"/>
  <c r="T173" i="1" s="1"/>
  <c r="N197" i="1"/>
  <c r="U197" i="1" s="1"/>
  <c r="M197" i="1"/>
  <c r="T197" i="1" s="1"/>
  <c r="N221" i="1"/>
  <c r="U221" i="1" s="1"/>
  <c r="M221" i="1"/>
  <c r="T221" i="1" s="1"/>
  <c r="N245" i="1"/>
  <c r="U245" i="1" s="1"/>
  <c r="M245" i="1"/>
  <c r="T245" i="1" s="1"/>
  <c r="N269" i="1"/>
  <c r="U269" i="1" s="1"/>
  <c r="M269" i="1"/>
  <c r="N293" i="1"/>
  <c r="U293" i="1" s="1"/>
  <c r="M293" i="1"/>
  <c r="T293" i="1" s="1"/>
  <c r="N317" i="1"/>
  <c r="U317" i="1" s="1"/>
  <c r="M317" i="1"/>
  <c r="N341" i="1"/>
  <c r="U341" i="1" s="1"/>
  <c r="M341" i="1"/>
  <c r="N365" i="1"/>
  <c r="U365" i="1" s="1"/>
  <c r="M365" i="1"/>
  <c r="N30" i="1"/>
  <c r="U30" i="1" s="1"/>
  <c r="M30" i="1"/>
  <c r="T30" i="1" s="1"/>
  <c r="N54" i="1"/>
  <c r="U54" i="1" s="1"/>
  <c r="M54" i="1"/>
  <c r="T54" i="1" s="1"/>
  <c r="N78" i="1"/>
  <c r="U78" i="1" s="1"/>
  <c r="M78" i="1"/>
  <c r="T78" i="1" s="1"/>
  <c r="N102" i="1"/>
  <c r="U102" i="1" s="1"/>
  <c r="M102" i="1"/>
  <c r="T102" i="1" s="1"/>
  <c r="N126" i="1"/>
  <c r="U126" i="1" s="1"/>
  <c r="M126" i="1"/>
  <c r="N150" i="1"/>
  <c r="U150" i="1" s="1"/>
  <c r="M150" i="1"/>
  <c r="T150" i="1" s="1"/>
  <c r="N174" i="1"/>
  <c r="U174" i="1" s="1"/>
  <c r="M174" i="1"/>
  <c r="T174" i="1" s="1"/>
  <c r="N198" i="1"/>
  <c r="U198" i="1" s="1"/>
  <c r="M198" i="1"/>
  <c r="N222" i="1"/>
  <c r="U222" i="1" s="1"/>
  <c r="M222" i="1"/>
  <c r="N246" i="1"/>
  <c r="U246" i="1" s="1"/>
  <c r="M246" i="1"/>
  <c r="N270" i="1"/>
  <c r="U270" i="1" s="1"/>
  <c r="M270" i="1"/>
  <c r="T270" i="1" s="1"/>
  <c r="N318" i="1"/>
  <c r="U318" i="1" s="1"/>
  <c r="M318" i="1"/>
  <c r="N342" i="1"/>
  <c r="U342" i="1" s="1"/>
  <c r="M342" i="1"/>
  <c r="T342" i="1" s="1"/>
  <c r="N366" i="1"/>
  <c r="U366" i="1" s="1"/>
  <c r="M366" i="1"/>
  <c r="T366" i="1" s="1"/>
  <c r="N31" i="1"/>
  <c r="U31" i="1" s="1"/>
  <c r="M31" i="1"/>
  <c r="T31" i="1" s="1"/>
  <c r="N55" i="1"/>
  <c r="U55" i="1" s="1"/>
  <c r="M55" i="1"/>
  <c r="T55" i="1" s="1"/>
  <c r="N79" i="1"/>
  <c r="U79" i="1" s="1"/>
  <c r="M79" i="1"/>
  <c r="T79" i="1" s="1"/>
  <c r="N103" i="1"/>
  <c r="U103" i="1" s="1"/>
  <c r="M103" i="1"/>
  <c r="T103" i="1" s="1"/>
  <c r="N127" i="1"/>
  <c r="U127" i="1" s="1"/>
  <c r="M127" i="1"/>
  <c r="T127" i="1" s="1"/>
  <c r="N175" i="1"/>
  <c r="U175" i="1" s="1"/>
  <c r="M175" i="1"/>
  <c r="N199" i="1"/>
  <c r="U199" i="1" s="1"/>
  <c r="M199" i="1"/>
  <c r="N223" i="1"/>
  <c r="U223" i="1" s="1"/>
  <c r="M223" i="1"/>
  <c r="T223" i="1" s="1"/>
  <c r="N247" i="1"/>
  <c r="U247" i="1" s="1"/>
  <c r="M247" i="1"/>
  <c r="N271" i="1"/>
  <c r="U271" i="1" s="1"/>
  <c r="M271" i="1"/>
  <c r="N295" i="1"/>
  <c r="U295" i="1" s="1"/>
  <c r="M295" i="1"/>
  <c r="T295" i="1" s="1"/>
  <c r="N319" i="1"/>
  <c r="U319" i="1" s="1"/>
  <c r="M319" i="1"/>
  <c r="T319" i="1" s="1"/>
  <c r="N343" i="1"/>
  <c r="U343" i="1" s="1"/>
  <c r="M343" i="1"/>
  <c r="T343" i="1" s="1"/>
  <c r="N367" i="1"/>
  <c r="U367" i="1" s="1"/>
  <c r="M367" i="1"/>
  <c r="T367" i="1" s="1"/>
  <c r="N32" i="1"/>
  <c r="U32" i="1" s="1"/>
  <c r="M32" i="1"/>
  <c r="T32" i="1" s="1"/>
  <c r="N248" i="1"/>
  <c r="U248" i="1" s="1"/>
  <c r="M248" i="1"/>
  <c r="T248" i="1" s="1"/>
  <c r="N34" i="1"/>
  <c r="U34" i="1" s="1"/>
  <c r="M34" i="1"/>
  <c r="T34" i="1" s="1"/>
  <c r="N58" i="1"/>
  <c r="U58" i="1" s="1"/>
  <c r="M58" i="1"/>
  <c r="N82" i="1"/>
  <c r="U82" i="1" s="1"/>
  <c r="M82" i="1"/>
  <c r="T82" i="1" s="1"/>
  <c r="N106" i="1"/>
  <c r="U106" i="1" s="1"/>
  <c r="M106" i="1"/>
  <c r="T106" i="1" s="1"/>
  <c r="N130" i="1"/>
  <c r="U130" i="1" s="1"/>
  <c r="M130" i="1"/>
  <c r="N154" i="1"/>
  <c r="U154" i="1" s="1"/>
  <c r="M154" i="1"/>
  <c r="N178" i="1"/>
  <c r="U178" i="1" s="1"/>
  <c r="M178" i="1"/>
  <c r="T178" i="1" s="1"/>
  <c r="N202" i="1"/>
  <c r="U202" i="1" s="1"/>
  <c r="M202" i="1"/>
  <c r="T202" i="1" s="1"/>
  <c r="N226" i="1"/>
  <c r="U226" i="1" s="1"/>
  <c r="M226" i="1"/>
  <c r="T226" i="1" s="1"/>
  <c r="N250" i="1"/>
  <c r="U250" i="1" s="1"/>
  <c r="M250" i="1"/>
  <c r="N274" i="1"/>
  <c r="U274" i="1" s="1"/>
  <c r="M274" i="1"/>
  <c r="T274" i="1" s="1"/>
  <c r="N298" i="1"/>
  <c r="U298" i="1" s="1"/>
  <c r="M298" i="1"/>
  <c r="T298" i="1" s="1"/>
  <c r="N322" i="1"/>
  <c r="U322" i="1" s="1"/>
  <c r="M322" i="1"/>
  <c r="T322" i="1" s="1"/>
  <c r="N370" i="1"/>
  <c r="U370" i="1" s="1"/>
  <c r="M370" i="1"/>
  <c r="N11" i="1"/>
  <c r="M11" i="1"/>
  <c r="N35" i="1"/>
  <c r="U35" i="1" s="1"/>
  <c r="M35" i="1"/>
  <c r="N59" i="1"/>
  <c r="U59" i="1" s="1"/>
  <c r="M59" i="1"/>
  <c r="T59" i="1" s="1"/>
  <c r="N83" i="1"/>
  <c r="U83" i="1" s="1"/>
  <c r="M83" i="1"/>
  <c r="N107" i="1"/>
  <c r="U107" i="1" s="1"/>
  <c r="M107" i="1"/>
  <c r="T107" i="1" s="1"/>
  <c r="N131" i="1"/>
  <c r="U131" i="1" s="1"/>
  <c r="M131" i="1"/>
  <c r="T131" i="1" s="1"/>
  <c r="N155" i="1"/>
  <c r="U155" i="1" s="1"/>
  <c r="M155" i="1"/>
  <c r="T155" i="1" s="1"/>
  <c r="N179" i="1"/>
  <c r="U179" i="1" s="1"/>
  <c r="M179" i="1"/>
  <c r="T179" i="1" s="1"/>
  <c r="N203" i="1"/>
  <c r="U203" i="1" s="1"/>
  <c r="M203" i="1"/>
  <c r="T203" i="1" s="1"/>
  <c r="N227" i="1"/>
  <c r="U227" i="1" s="1"/>
  <c r="M227" i="1"/>
  <c r="T227" i="1" s="1"/>
  <c r="N251" i="1"/>
  <c r="U251" i="1" s="1"/>
  <c r="M251" i="1"/>
  <c r="T251" i="1" s="1"/>
  <c r="N275" i="1"/>
  <c r="U275" i="1" s="1"/>
  <c r="M275" i="1"/>
  <c r="N299" i="1"/>
  <c r="U299" i="1" s="1"/>
  <c r="M299" i="1"/>
  <c r="T299" i="1" s="1"/>
  <c r="N323" i="1"/>
  <c r="U323" i="1" s="1"/>
  <c r="M323" i="1"/>
  <c r="T323" i="1" s="1"/>
  <c r="N347" i="1"/>
  <c r="U347" i="1" s="1"/>
  <c r="M347" i="1"/>
  <c r="N371" i="1"/>
  <c r="U371" i="1" s="1"/>
  <c r="M371" i="1"/>
  <c r="T371" i="1" s="1"/>
  <c r="C6" i="1"/>
  <c r="L277" i="1"/>
  <c r="S277" i="1" s="1"/>
  <c r="T277" i="1"/>
  <c r="L12" i="1"/>
  <c r="S12" i="1" s="1"/>
  <c r="L36" i="1"/>
  <c r="S36" i="1" s="1"/>
  <c r="T36" i="1"/>
  <c r="L60" i="1"/>
  <c r="S60" i="1" s="1"/>
  <c r="L84" i="1"/>
  <c r="S84" i="1" s="1"/>
  <c r="L108" i="1"/>
  <c r="S108" i="1" s="1"/>
  <c r="L132" i="1"/>
  <c r="S132" i="1" s="1"/>
  <c r="L156" i="1"/>
  <c r="S156" i="1" s="1"/>
  <c r="L180" i="1"/>
  <c r="S180" i="1" s="1"/>
  <c r="L204" i="1"/>
  <c r="S204" i="1" s="1"/>
  <c r="T204" i="1"/>
  <c r="L228" i="1"/>
  <c r="S228" i="1" s="1"/>
  <c r="T228" i="1"/>
  <c r="L252" i="1"/>
  <c r="S252" i="1" s="1"/>
  <c r="T252" i="1"/>
  <c r="L276" i="1"/>
  <c r="S276" i="1" s="1"/>
  <c r="L300" i="1"/>
  <c r="S300" i="1" s="1"/>
  <c r="T300" i="1"/>
  <c r="L324" i="1"/>
  <c r="S324" i="1" s="1"/>
  <c r="L348" i="1"/>
  <c r="S348" i="1" s="1"/>
  <c r="L372" i="1"/>
  <c r="S372" i="1" s="1"/>
  <c r="T372" i="1"/>
  <c r="L109" i="1"/>
  <c r="S109" i="1" s="1"/>
  <c r="L373" i="1"/>
  <c r="S373" i="1" s="1"/>
  <c r="L38" i="1"/>
  <c r="S38" i="1" s="1"/>
  <c r="T38" i="1"/>
  <c r="L278" i="1"/>
  <c r="S278" i="1" s="1"/>
  <c r="L39" i="1"/>
  <c r="S39" i="1" s="1"/>
  <c r="L64" i="1"/>
  <c r="S64" i="1" s="1"/>
  <c r="L304" i="1"/>
  <c r="S304" i="1" s="1"/>
  <c r="T304" i="1"/>
  <c r="L353" i="1"/>
  <c r="S353" i="1" s="1"/>
  <c r="T353" i="1"/>
  <c r="L18" i="1"/>
  <c r="S18" i="1" s="1"/>
  <c r="L42" i="1"/>
  <c r="S42" i="1" s="1"/>
  <c r="L66" i="1"/>
  <c r="S66" i="1" s="1"/>
  <c r="L90" i="1"/>
  <c r="S90" i="1" s="1"/>
  <c r="L114" i="1"/>
  <c r="S114" i="1" s="1"/>
  <c r="T114" i="1"/>
  <c r="L138" i="1"/>
  <c r="S138" i="1" s="1"/>
  <c r="L162" i="1"/>
  <c r="S162" i="1" s="1"/>
  <c r="L186" i="1"/>
  <c r="S186" i="1" s="1"/>
  <c r="T186" i="1"/>
  <c r="L210" i="1"/>
  <c r="S210" i="1" s="1"/>
  <c r="L234" i="1"/>
  <c r="S234" i="1" s="1"/>
  <c r="L258" i="1"/>
  <c r="S258" i="1" s="1"/>
  <c r="L282" i="1"/>
  <c r="S282" i="1" s="1"/>
  <c r="L306" i="1"/>
  <c r="S306" i="1" s="1"/>
  <c r="T306" i="1"/>
  <c r="L330" i="1"/>
  <c r="S330" i="1" s="1"/>
  <c r="L354" i="1"/>
  <c r="S354" i="1" s="1"/>
  <c r="T354" i="1"/>
  <c r="L133" i="1"/>
  <c r="S133" i="1" s="1"/>
  <c r="L253" i="1"/>
  <c r="S253" i="1" s="1"/>
  <c r="L326" i="1"/>
  <c r="S326" i="1" s="1"/>
  <c r="L15" i="1"/>
  <c r="S15" i="1" s="1"/>
  <c r="L112" i="1"/>
  <c r="S112" i="1" s="1"/>
  <c r="L280" i="1"/>
  <c r="S280" i="1" s="1"/>
  <c r="T280" i="1"/>
  <c r="L329" i="1"/>
  <c r="S329" i="1" s="1"/>
  <c r="L19" i="1"/>
  <c r="S19" i="1" s="1"/>
  <c r="L67" i="1"/>
  <c r="S67" i="1" s="1"/>
  <c r="L91" i="1"/>
  <c r="S91" i="1" s="1"/>
  <c r="L235" i="1"/>
  <c r="S235" i="1" s="1"/>
  <c r="L355" i="1"/>
  <c r="S355" i="1" s="1"/>
  <c r="T355" i="1"/>
  <c r="L374" i="1"/>
  <c r="S374" i="1" s="1"/>
  <c r="T374" i="1"/>
  <c r="L303" i="1"/>
  <c r="S303" i="1" s="1"/>
  <c r="T303" i="1"/>
  <c r="L185" i="1"/>
  <c r="S185" i="1" s="1"/>
  <c r="L331" i="1"/>
  <c r="S331" i="1" s="1"/>
  <c r="T331" i="1"/>
  <c r="L20" i="1"/>
  <c r="S20" i="1" s="1"/>
  <c r="T20" i="1"/>
  <c r="L44" i="1"/>
  <c r="S44" i="1" s="1"/>
  <c r="T44" i="1"/>
  <c r="L68" i="1"/>
  <c r="S68" i="1" s="1"/>
  <c r="L92" i="1"/>
  <c r="S92" i="1" s="1"/>
  <c r="T92" i="1"/>
  <c r="L116" i="1"/>
  <c r="S116" i="1" s="1"/>
  <c r="T116" i="1"/>
  <c r="L140" i="1"/>
  <c r="S140" i="1" s="1"/>
  <c r="L164" i="1"/>
  <c r="S164" i="1" s="1"/>
  <c r="L188" i="1"/>
  <c r="S188" i="1" s="1"/>
  <c r="T188" i="1"/>
  <c r="L212" i="1"/>
  <c r="S212" i="1" s="1"/>
  <c r="T212" i="1"/>
  <c r="L236" i="1"/>
  <c r="S236" i="1" s="1"/>
  <c r="L260" i="1"/>
  <c r="S260" i="1" s="1"/>
  <c r="L284" i="1"/>
  <c r="S284" i="1" s="1"/>
  <c r="L308" i="1"/>
  <c r="S308" i="1" s="1"/>
  <c r="T308" i="1"/>
  <c r="L332" i="1"/>
  <c r="S332" i="1" s="1"/>
  <c r="T332" i="1"/>
  <c r="L356" i="1"/>
  <c r="S356" i="1" s="1"/>
  <c r="L205" i="1"/>
  <c r="S205" i="1" s="1"/>
  <c r="T205" i="1"/>
  <c r="L113" i="1"/>
  <c r="S113" i="1" s="1"/>
  <c r="T113" i="1"/>
  <c r="L349" i="1"/>
  <c r="S349" i="1" s="1"/>
  <c r="T349" i="1"/>
  <c r="L86" i="1"/>
  <c r="S86" i="1" s="1"/>
  <c r="T86" i="1"/>
  <c r="L254" i="1"/>
  <c r="S254" i="1" s="1"/>
  <c r="L88" i="1"/>
  <c r="S88" i="1" s="1"/>
  <c r="T88" i="1"/>
  <c r="L256" i="1"/>
  <c r="S256" i="1" s="1"/>
  <c r="T256" i="1"/>
  <c r="L305" i="1"/>
  <c r="S305" i="1" s="1"/>
  <c r="L211" i="1"/>
  <c r="S211" i="1" s="1"/>
  <c r="L117" i="1"/>
  <c r="S117" i="1" s="1"/>
  <c r="L285" i="1"/>
  <c r="S285" i="1" s="1"/>
  <c r="L22" i="1"/>
  <c r="S22" i="1" s="1"/>
  <c r="L46" i="1"/>
  <c r="S46" i="1" s="1"/>
  <c r="L70" i="1"/>
  <c r="S70" i="1" s="1"/>
  <c r="T70" i="1"/>
  <c r="L94" i="1"/>
  <c r="S94" i="1" s="1"/>
  <c r="T94" i="1"/>
  <c r="L118" i="1"/>
  <c r="S118" i="1" s="1"/>
  <c r="L142" i="1"/>
  <c r="S142" i="1" s="1"/>
  <c r="L166" i="1"/>
  <c r="S166" i="1" s="1"/>
  <c r="L190" i="1"/>
  <c r="S190" i="1" s="1"/>
  <c r="L214" i="1"/>
  <c r="S214" i="1" s="1"/>
  <c r="L238" i="1"/>
  <c r="S238" i="1" s="1"/>
  <c r="L262" i="1"/>
  <c r="S262" i="1" s="1"/>
  <c r="L286" i="1"/>
  <c r="S286" i="1" s="1"/>
  <c r="L310" i="1"/>
  <c r="S310" i="1" s="1"/>
  <c r="L334" i="1"/>
  <c r="S334" i="1" s="1"/>
  <c r="L358" i="1"/>
  <c r="S358" i="1" s="1"/>
  <c r="L229" i="1"/>
  <c r="S229" i="1" s="1"/>
  <c r="T229" i="1"/>
  <c r="L158" i="1"/>
  <c r="S158" i="1" s="1"/>
  <c r="L111" i="1"/>
  <c r="S111" i="1" s="1"/>
  <c r="L207" i="1"/>
  <c r="S207" i="1" s="1"/>
  <c r="L160" i="1"/>
  <c r="S160" i="1" s="1"/>
  <c r="T160" i="1"/>
  <c r="L89" i="1"/>
  <c r="S89" i="1" s="1"/>
  <c r="L161" i="1"/>
  <c r="S161" i="1" s="1"/>
  <c r="T161" i="1"/>
  <c r="L163" i="1"/>
  <c r="S163" i="1" s="1"/>
  <c r="T163" i="1"/>
  <c r="L45" i="1"/>
  <c r="S45" i="1" s="1"/>
  <c r="L357" i="1"/>
  <c r="S357" i="1" s="1"/>
  <c r="T357" i="1"/>
  <c r="L23" i="1"/>
  <c r="S23" i="1" s="1"/>
  <c r="L47" i="1"/>
  <c r="S47" i="1" s="1"/>
  <c r="L71" i="1"/>
  <c r="S71" i="1" s="1"/>
  <c r="L95" i="1"/>
  <c r="S95" i="1" s="1"/>
  <c r="T95" i="1"/>
  <c r="L119" i="1"/>
  <c r="S119" i="1" s="1"/>
  <c r="T119" i="1"/>
  <c r="L143" i="1"/>
  <c r="S143" i="1" s="1"/>
  <c r="L167" i="1"/>
  <c r="S167" i="1" s="1"/>
  <c r="L191" i="1"/>
  <c r="S191" i="1" s="1"/>
  <c r="L215" i="1"/>
  <c r="S215" i="1" s="1"/>
  <c r="L239" i="1"/>
  <c r="S239" i="1" s="1"/>
  <c r="L263" i="1"/>
  <c r="S263" i="1" s="1"/>
  <c r="L287" i="1"/>
  <c r="S287" i="1" s="1"/>
  <c r="L311" i="1"/>
  <c r="S311" i="1" s="1"/>
  <c r="L335" i="1"/>
  <c r="S335" i="1" s="1"/>
  <c r="L359" i="1"/>
  <c r="S359" i="1" s="1"/>
  <c r="L37" i="1"/>
  <c r="S37" i="1" s="1"/>
  <c r="T37" i="1"/>
  <c r="L182" i="1"/>
  <c r="S182" i="1" s="1"/>
  <c r="L135" i="1"/>
  <c r="S135" i="1" s="1"/>
  <c r="T135" i="1"/>
  <c r="L208" i="1"/>
  <c r="S208" i="1" s="1"/>
  <c r="L115" i="1"/>
  <c r="S115" i="1" s="1"/>
  <c r="L237" i="1"/>
  <c r="S237" i="1" s="1"/>
  <c r="L24" i="1"/>
  <c r="S24" i="1" s="1"/>
  <c r="T24" i="1"/>
  <c r="L48" i="1"/>
  <c r="S48" i="1" s="1"/>
  <c r="T48" i="1"/>
  <c r="L72" i="1"/>
  <c r="S72" i="1" s="1"/>
  <c r="T72" i="1"/>
  <c r="L96" i="1"/>
  <c r="S96" i="1" s="1"/>
  <c r="L120" i="1"/>
  <c r="S120" i="1" s="1"/>
  <c r="T120" i="1"/>
  <c r="L144" i="1"/>
  <c r="S144" i="1" s="1"/>
  <c r="L168" i="1"/>
  <c r="S168" i="1" s="1"/>
  <c r="L192" i="1"/>
  <c r="S192" i="1" s="1"/>
  <c r="T192" i="1"/>
  <c r="L216" i="1"/>
  <c r="S216" i="1" s="1"/>
  <c r="L240" i="1"/>
  <c r="S240" i="1" s="1"/>
  <c r="T240" i="1"/>
  <c r="L264" i="1"/>
  <c r="S264" i="1" s="1"/>
  <c r="T264" i="1"/>
  <c r="L288" i="1"/>
  <c r="S288" i="1" s="1"/>
  <c r="L312" i="1"/>
  <c r="S312" i="1" s="1"/>
  <c r="L336" i="1"/>
  <c r="S336" i="1" s="1"/>
  <c r="T336" i="1"/>
  <c r="L360" i="1"/>
  <c r="S360" i="1" s="1"/>
  <c r="L302" i="1"/>
  <c r="S302" i="1" s="1"/>
  <c r="L327" i="1"/>
  <c r="S327" i="1" s="1"/>
  <c r="L328" i="1"/>
  <c r="S328" i="1" s="1"/>
  <c r="T328" i="1"/>
  <c r="L233" i="1"/>
  <c r="S233" i="1" s="1"/>
  <c r="T233" i="1"/>
  <c r="L139" i="1"/>
  <c r="S139" i="1" s="1"/>
  <c r="T139" i="1"/>
  <c r="L93" i="1"/>
  <c r="S93" i="1" s="1"/>
  <c r="L25" i="1"/>
  <c r="S25" i="1" s="1"/>
  <c r="L49" i="1"/>
  <c r="S49" i="1" s="1"/>
  <c r="T49" i="1"/>
  <c r="L73" i="1"/>
  <c r="S73" i="1" s="1"/>
  <c r="L97" i="1"/>
  <c r="S97" i="1" s="1"/>
  <c r="T97" i="1"/>
  <c r="L121" i="1"/>
  <c r="S121" i="1" s="1"/>
  <c r="T121" i="1"/>
  <c r="L145" i="1"/>
  <c r="S145" i="1" s="1"/>
  <c r="L169" i="1"/>
  <c r="S169" i="1" s="1"/>
  <c r="T169" i="1"/>
  <c r="L193" i="1"/>
  <c r="S193" i="1" s="1"/>
  <c r="L217" i="1"/>
  <c r="S217" i="1" s="1"/>
  <c r="L241" i="1"/>
  <c r="S241" i="1" s="1"/>
  <c r="T241" i="1"/>
  <c r="L265" i="1"/>
  <c r="S265" i="1" s="1"/>
  <c r="L289" i="1"/>
  <c r="S289" i="1" s="1"/>
  <c r="L313" i="1"/>
  <c r="S313" i="1" s="1"/>
  <c r="L337" i="1"/>
  <c r="S337" i="1" s="1"/>
  <c r="L361" i="1"/>
  <c r="S361" i="1" s="1"/>
  <c r="L157" i="1"/>
  <c r="S157" i="1" s="1"/>
  <c r="T157" i="1"/>
  <c r="L159" i="1"/>
  <c r="S159" i="1" s="1"/>
  <c r="L74" i="1"/>
  <c r="S74" i="1" s="1"/>
  <c r="T74" i="1"/>
  <c r="L122" i="1"/>
  <c r="S122" i="1" s="1"/>
  <c r="L242" i="1"/>
  <c r="S242" i="1" s="1"/>
  <c r="L266" i="1"/>
  <c r="S266" i="1" s="1"/>
  <c r="L290" i="1"/>
  <c r="S290" i="1" s="1"/>
  <c r="L314" i="1"/>
  <c r="S314" i="1" s="1"/>
  <c r="L362" i="1"/>
  <c r="S362" i="1" s="1"/>
  <c r="L62" i="1"/>
  <c r="S62" i="1" s="1"/>
  <c r="T62" i="1"/>
  <c r="L230" i="1"/>
  <c r="S230" i="1" s="1"/>
  <c r="T230" i="1"/>
  <c r="L351" i="1"/>
  <c r="S351" i="1" s="1"/>
  <c r="L40" i="1"/>
  <c r="S40" i="1" s="1"/>
  <c r="L232" i="1"/>
  <c r="S232" i="1" s="1"/>
  <c r="L187" i="1"/>
  <c r="S187" i="1" s="1"/>
  <c r="L50" i="1"/>
  <c r="S50" i="1" s="1"/>
  <c r="T50" i="1"/>
  <c r="L98" i="1"/>
  <c r="S98" i="1" s="1"/>
  <c r="L146" i="1"/>
  <c r="S146" i="1" s="1"/>
  <c r="L338" i="1"/>
  <c r="S338" i="1" s="1"/>
  <c r="L27" i="1"/>
  <c r="S27" i="1" s="1"/>
  <c r="L51" i="1"/>
  <c r="S51" i="1" s="1"/>
  <c r="T51" i="1"/>
  <c r="L75" i="1"/>
  <c r="S75" i="1" s="1"/>
  <c r="L99" i="1"/>
  <c r="S99" i="1" s="1"/>
  <c r="L123" i="1"/>
  <c r="S123" i="1" s="1"/>
  <c r="T123" i="1"/>
  <c r="L147" i="1"/>
  <c r="S147" i="1" s="1"/>
  <c r="T147" i="1"/>
  <c r="L171" i="1"/>
  <c r="S171" i="1" s="1"/>
  <c r="T171" i="1"/>
  <c r="L195" i="1"/>
  <c r="S195" i="1" s="1"/>
  <c r="L219" i="1"/>
  <c r="S219" i="1" s="1"/>
  <c r="L243" i="1"/>
  <c r="S243" i="1" s="1"/>
  <c r="L267" i="1"/>
  <c r="S267" i="1" s="1"/>
  <c r="L291" i="1"/>
  <c r="S291" i="1" s="1"/>
  <c r="L315" i="1"/>
  <c r="S315" i="1" s="1"/>
  <c r="L339" i="1"/>
  <c r="S339" i="1" s="1"/>
  <c r="L363" i="1"/>
  <c r="S363" i="1" s="1"/>
  <c r="T363" i="1"/>
  <c r="L181" i="1"/>
  <c r="S181" i="1" s="1"/>
  <c r="L375" i="1"/>
  <c r="S375" i="1" s="1"/>
  <c r="L261" i="1"/>
  <c r="S261" i="1" s="1"/>
  <c r="L52" i="1"/>
  <c r="S52" i="1" s="1"/>
  <c r="T52" i="1"/>
  <c r="L76" i="1"/>
  <c r="S76" i="1" s="1"/>
  <c r="T76" i="1"/>
  <c r="L100" i="1"/>
  <c r="S100" i="1" s="1"/>
  <c r="L124" i="1"/>
  <c r="S124" i="1" s="1"/>
  <c r="T124" i="1"/>
  <c r="L148" i="1"/>
  <c r="S148" i="1" s="1"/>
  <c r="L172" i="1"/>
  <c r="S172" i="1" s="1"/>
  <c r="T172" i="1"/>
  <c r="L196" i="1"/>
  <c r="S196" i="1" s="1"/>
  <c r="L220" i="1"/>
  <c r="S220" i="1" s="1"/>
  <c r="L244" i="1"/>
  <c r="S244" i="1" s="1"/>
  <c r="L268" i="1"/>
  <c r="S268" i="1" s="1"/>
  <c r="L292" i="1"/>
  <c r="S292" i="1" s="1"/>
  <c r="L316" i="1"/>
  <c r="S316" i="1" s="1"/>
  <c r="L340" i="1"/>
  <c r="S340" i="1" s="1"/>
  <c r="T340" i="1"/>
  <c r="L364" i="1"/>
  <c r="S364" i="1" s="1"/>
  <c r="T364" i="1"/>
  <c r="L189" i="1"/>
  <c r="S189" i="1" s="1"/>
  <c r="T189" i="1"/>
  <c r="L77" i="1"/>
  <c r="S77" i="1" s="1"/>
  <c r="L149" i="1"/>
  <c r="S149" i="1" s="1"/>
  <c r="L173" i="1"/>
  <c r="S173" i="1" s="1"/>
  <c r="L221" i="1"/>
  <c r="S221" i="1" s="1"/>
  <c r="L269" i="1"/>
  <c r="S269" i="1" s="1"/>
  <c r="T269" i="1"/>
  <c r="L341" i="1"/>
  <c r="S341" i="1" s="1"/>
  <c r="T341" i="1"/>
  <c r="L365" i="1"/>
  <c r="S365" i="1" s="1"/>
  <c r="T365" i="1"/>
  <c r="L350" i="1"/>
  <c r="S350" i="1" s="1"/>
  <c r="T350" i="1"/>
  <c r="L279" i="1"/>
  <c r="S279" i="1" s="1"/>
  <c r="L65" i="1"/>
  <c r="S65" i="1" s="1"/>
  <c r="T65" i="1"/>
  <c r="L209" i="1"/>
  <c r="S209" i="1" s="1"/>
  <c r="L43" i="1"/>
  <c r="S43" i="1" s="1"/>
  <c r="L307" i="1"/>
  <c r="S307" i="1" s="1"/>
  <c r="T307" i="1"/>
  <c r="L69" i="1"/>
  <c r="S69" i="1" s="1"/>
  <c r="T69" i="1"/>
  <c r="L218" i="1"/>
  <c r="S218" i="1" s="1"/>
  <c r="L197" i="1"/>
  <c r="S197" i="1" s="1"/>
  <c r="L30" i="1"/>
  <c r="S30" i="1" s="1"/>
  <c r="L54" i="1"/>
  <c r="S54" i="1" s="1"/>
  <c r="L78" i="1"/>
  <c r="S78" i="1" s="1"/>
  <c r="L102" i="1"/>
  <c r="S102" i="1" s="1"/>
  <c r="L126" i="1"/>
  <c r="S126" i="1" s="1"/>
  <c r="T126" i="1"/>
  <c r="L150" i="1"/>
  <c r="S150" i="1" s="1"/>
  <c r="L174" i="1"/>
  <c r="S174" i="1" s="1"/>
  <c r="L198" i="1"/>
  <c r="S198" i="1" s="1"/>
  <c r="T198" i="1"/>
  <c r="L222" i="1"/>
  <c r="S222" i="1" s="1"/>
  <c r="T222" i="1"/>
  <c r="L246" i="1"/>
  <c r="S246" i="1" s="1"/>
  <c r="T246" i="1"/>
  <c r="L270" i="1"/>
  <c r="S270" i="1" s="1"/>
  <c r="L294" i="1"/>
  <c r="S294" i="1" s="1"/>
  <c r="T294" i="1"/>
  <c r="L318" i="1"/>
  <c r="S318" i="1" s="1"/>
  <c r="T318" i="1"/>
  <c r="L342" i="1"/>
  <c r="S342" i="1" s="1"/>
  <c r="L366" i="1"/>
  <c r="S366" i="1" s="1"/>
  <c r="L85" i="1"/>
  <c r="S85" i="1" s="1"/>
  <c r="L301" i="1"/>
  <c r="S301" i="1" s="1"/>
  <c r="T301" i="1"/>
  <c r="L110" i="1"/>
  <c r="S110" i="1" s="1"/>
  <c r="L63" i="1"/>
  <c r="S63" i="1" s="1"/>
  <c r="L231" i="1"/>
  <c r="S231" i="1" s="1"/>
  <c r="L136" i="1"/>
  <c r="S136" i="1" s="1"/>
  <c r="L352" i="1"/>
  <c r="S352" i="1" s="1"/>
  <c r="L41" i="1"/>
  <c r="S41" i="1" s="1"/>
  <c r="T41" i="1"/>
  <c r="L281" i="1"/>
  <c r="S281" i="1" s="1"/>
  <c r="L283" i="1"/>
  <c r="S283" i="1" s="1"/>
  <c r="T283" i="1"/>
  <c r="L141" i="1"/>
  <c r="S141" i="1" s="1"/>
  <c r="L309" i="1"/>
  <c r="S309" i="1" s="1"/>
  <c r="L194" i="1"/>
  <c r="S194" i="1" s="1"/>
  <c r="L53" i="1"/>
  <c r="S53" i="1" s="1"/>
  <c r="T53" i="1"/>
  <c r="L101" i="1"/>
  <c r="S101" i="1" s="1"/>
  <c r="T101" i="1"/>
  <c r="L317" i="1"/>
  <c r="S317" i="1" s="1"/>
  <c r="T317" i="1"/>
  <c r="L31" i="1"/>
  <c r="S31" i="1" s="1"/>
  <c r="L55" i="1"/>
  <c r="S55" i="1" s="1"/>
  <c r="L79" i="1"/>
  <c r="S79" i="1" s="1"/>
  <c r="L103" i="1"/>
  <c r="S103" i="1" s="1"/>
  <c r="L127" i="1"/>
  <c r="S127" i="1" s="1"/>
  <c r="L151" i="1"/>
  <c r="S151" i="1" s="1"/>
  <c r="L175" i="1"/>
  <c r="S175" i="1" s="1"/>
  <c r="T175" i="1"/>
  <c r="L199" i="1"/>
  <c r="S199" i="1" s="1"/>
  <c r="T199" i="1"/>
  <c r="L223" i="1"/>
  <c r="S223" i="1" s="1"/>
  <c r="L247" i="1"/>
  <c r="S247" i="1" s="1"/>
  <c r="T247" i="1"/>
  <c r="L271" i="1"/>
  <c r="S271" i="1" s="1"/>
  <c r="T271" i="1"/>
  <c r="L295" i="1"/>
  <c r="S295" i="1" s="1"/>
  <c r="L319" i="1"/>
  <c r="S319" i="1" s="1"/>
  <c r="L343" i="1"/>
  <c r="S343" i="1" s="1"/>
  <c r="L367" i="1"/>
  <c r="S367" i="1" s="1"/>
  <c r="L61" i="1"/>
  <c r="S61" i="1" s="1"/>
  <c r="T61" i="1"/>
  <c r="L325" i="1"/>
  <c r="S325" i="1" s="1"/>
  <c r="L134" i="1"/>
  <c r="S134" i="1" s="1"/>
  <c r="T134" i="1"/>
  <c r="L255" i="1"/>
  <c r="S255" i="1" s="1"/>
  <c r="L16" i="1"/>
  <c r="S16" i="1" s="1"/>
  <c r="L17" i="1"/>
  <c r="S17" i="1" s="1"/>
  <c r="T17" i="1"/>
  <c r="L257" i="1"/>
  <c r="S257" i="1" s="1"/>
  <c r="T257" i="1"/>
  <c r="L259" i="1"/>
  <c r="S259" i="1" s="1"/>
  <c r="L21" i="1"/>
  <c r="S21" i="1" s="1"/>
  <c r="T21" i="1"/>
  <c r="L333" i="1"/>
  <c r="S333" i="1" s="1"/>
  <c r="L26" i="1"/>
  <c r="S26" i="1" s="1"/>
  <c r="T26" i="1"/>
  <c r="L170" i="1"/>
  <c r="S170" i="1" s="1"/>
  <c r="L28" i="1"/>
  <c r="S28" i="1" s="1"/>
  <c r="T28" i="1"/>
  <c r="L29" i="1"/>
  <c r="S29" i="1" s="1"/>
  <c r="T29" i="1"/>
  <c r="L125" i="1"/>
  <c r="S125" i="1" s="1"/>
  <c r="L293" i="1"/>
  <c r="S293" i="1" s="1"/>
  <c r="L32" i="1"/>
  <c r="S32" i="1" s="1"/>
  <c r="L56" i="1"/>
  <c r="S56" i="1" s="1"/>
  <c r="T56" i="1"/>
  <c r="L80" i="1"/>
  <c r="S80" i="1" s="1"/>
  <c r="T80" i="1"/>
  <c r="L104" i="1"/>
  <c r="S104" i="1" s="1"/>
  <c r="T104" i="1"/>
  <c r="L128" i="1"/>
  <c r="S128" i="1" s="1"/>
  <c r="T128" i="1"/>
  <c r="L152" i="1"/>
  <c r="S152" i="1" s="1"/>
  <c r="T152" i="1"/>
  <c r="L176" i="1"/>
  <c r="S176" i="1" s="1"/>
  <c r="L200" i="1"/>
  <c r="S200" i="1" s="1"/>
  <c r="T200" i="1"/>
  <c r="L224" i="1"/>
  <c r="S224" i="1" s="1"/>
  <c r="L248" i="1"/>
  <c r="S248" i="1" s="1"/>
  <c r="L272" i="1"/>
  <c r="S272" i="1" s="1"/>
  <c r="T272" i="1"/>
  <c r="L296" i="1"/>
  <c r="S296" i="1" s="1"/>
  <c r="L320" i="1"/>
  <c r="S320" i="1" s="1"/>
  <c r="L344" i="1"/>
  <c r="S344" i="1" s="1"/>
  <c r="L368" i="1"/>
  <c r="S368" i="1" s="1"/>
  <c r="T368" i="1"/>
  <c r="L213" i="1"/>
  <c r="S213" i="1" s="1"/>
  <c r="T213" i="1"/>
  <c r="L245" i="1"/>
  <c r="S245" i="1" s="1"/>
  <c r="L33" i="1"/>
  <c r="S33" i="1" s="1"/>
  <c r="T33" i="1"/>
  <c r="L57" i="1"/>
  <c r="S57" i="1" s="1"/>
  <c r="L81" i="1"/>
  <c r="S81" i="1" s="1"/>
  <c r="L105" i="1"/>
  <c r="S105" i="1" s="1"/>
  <c r="L129" i="1"/>
  <c r="S129" i="1" s="1"/>
  <c r="T129" i="1"/>
  <c r="L153" i="1"/>
  <c r="S153" i="1" s="1"/>
  <c r="L177" i="1"/>
  <c r="S177" i="1" s="1"/>
  <c r="L201" i="1"/>
  <c r="S201" i="1" s="1"/>
  <c r="L225" i="1"/>
  <c r="S225" i="1" s="1"/>
  <c r="T225" i="1"/>
  <c r="L249" i="1"/>
  <c r="S249" i="1" s="1"/>
  <c r="T249" i="1"/>
  <c r="L273" i="1"/>
  <c r="S273" i="1" s="1"/>
  <c r="T273" i="1"/>
  <c r="L297" i="1"/>
  <c r="S297" i="1" s="1"/>
  <c r="T297" i="1"/>
  <c r="L321" i="1"/>
  <c r="S321" i="1" s="1"/>
  <c r="T321" i="1"/>
  <c r="L345" i="1"/>
  <c r="S345" i="1" s="1"/>
  <c r="T345" i="1"/>
  <c r="L369" i="1"/>
  <c r="S369" i="1" s="1"/>
  <c r="L206" i="1"/>
  <c r="S206" i="1" s="1"/>
  <c r="T206" i="1"/>
  <c r="L87" i="1"/>
  <c r="S87" i="1" s="1"/>
  <c r="L184" i="1"/>
  <c r="S184" i="1" s="1"/>
  <c r="T184" i="1"/>
  <c r="L34" i="1"/>
  <c r="S34" i="1" s="1"/>
  <c r="L58" i="1"/>
  <c r="S58" i="1" s="1"/>
  <c r="T58" i="1"/>
  <c r="L82" i="1"/>
  <c r="S82" i="1" s="1"/>
  <c r="L106" i="1"/>
  <c r="S106" i="1" s="1"/>
  <c r="L130" i="1"/>
  <c r="S130" i="1" s="1"/>
  <c r="T130" i="1"/>
  <c r="L154" i="1"/>
  <c r="S154" i="1" s="1"/>
  <c r="T154" i="1"/>
  <c r="L178" i="1"/>
  <c r="S178" i="1" s="1"/>
  <c r="L202" i="1"/>
  <c r="S202" i="1" s="1"/>
  <c r="L226" i="1"/>
  <c r="S226" i="1" s="1"/>
  <c r="L250" i="1"/>
  <c r="S250" i="1" s="1"/>
  <c r="T250" i="1"/>
  <c r="L274" i="1"/>
  <c r="S274" i="1" s="1"/>
  <c r="L298" i="1"/>
  <c r="S298" i="1" s="1"/>
  <c r="L322" i="1"/>
  <c r="S322" i="1" s="1"/>
  <c r="L346" i="1"/>
  <c r="S346" i="1" s="1"/>
  <c r="L370" i="1"/>
  <c r="S370" i="1" s="1"/>
  <c r="T370" i="1"/>
  <c r="L13" i="1"/>
  <c r="S13" i="1" s="1"/>
  <c r="T13" i="1"/>
  <c r="L183" i="1"/>
  <c r="S183" i="1" s="1"/>
  <c r="L137" i="1"/>
  <c r="S137" i="1" s="1"/>
  <c r="L165" i="1"/>
  <c r="S165" i="1" s="1"/>
  <c r="T11" i="1"/>
  <c r="L35" i="1"/>
  <c r="S35" i="1" s="1"/>
  <c r="T35" i="1"/>
  <c r="L59" i="1"/>
  <c r="S59" i="1" s="1"/>
  <c r="L83" i="1"/>
  <c r="S83" i="1" s="1"/>
  <c r="T83" i="1"/>
  <c r="L107" i="1"/>
  <c r="S107" i="1" s="1"/>
  <c r="L131" i="1"/>
  <c r="S131" i="1" s="1"/>
  <c r="L155" i="1"/>
  <c r="S155" i="1" s="1"/>
  <c r="L179" i="1"/>
  <c r="S179" i="1" s="1"/>
  <c r="L203" i="1"/>
  <c r="S203" i="1" s="1"/>
  <c r="L227" i="1"/>
  <c r="S227" i="1" s="1"/>
  <c r="L251" i="1"/>
  <c r="S251" i="1" s="1"/>
  <c r="L275" i="1"/>
  <c r="S275" i="1" s="1"/>
  <c r="T275" i="1"/>
  <c r="L299" i="1"/>
  <c r="S299" i="1" s="1"/>
  <c r="L323" i="1"/>
  <c r="S323" i="1" s="1"/>
  <c r="L347" i="1"/>
  <c r="S347" i="1" s="1"/>
  <c r="T347" i="1"/>
  <c r="L371" i="1"/>
  <c r="S371" i="1" s="1"/>
  <c r="C5" i="1"/>
  <c r="C2" i="1"/>
  <c r="L14" i="1"/>
  <c r="S14" i="1" s="1"/>
  <c r="C4" i="1"/>
  <c r="L11" i="1"/>
  <c r="C3" i="1"/>
  <c r="J136" i="1"/>
  <c r="Q136" i="1" s="1"/>
  <c r="K136" i="1"/>
  <c r="R136" i="1" s="1"/>
  <c r="J281" i="1"/>
  <c r="Q281" i="1" s="1"/>
  <c r="K281" i="1"/>
  <c r="R281" i="1" s="1"/>
  <c r="J68" i="1"/>
  <c r="Q68" i="1" s="1"/>
  <c r="K68" i="1"/>
  <c r="R68" i="1" s="1"/>
  <c r="J92" i="1"/>
  <c r="Q92" i="1" s="1"/>
  <c r="K92" i="1"/>
  <c r="R92" i="1" s="1"/>
  <c r="J116" i="1"/>
  <c r="Q116" i="1" s="1"/>
  <c r="K116" i="1"/>
  <c r="R116" i="1" s="1"/>
  <c r="J140" i="1"/>
  <c r="Q140" i="1" s="1"/>
  <c r="K140" i="1"/>
  <c r="R140" i="1" s="1"/>
  <c r="J164" i="1"/>
  <c r="Q164" i="1" s="1"/>
  <c r="K164" i="1"/>
  <c r="R164" i="1" s="1"/>
  <c r="J188" i="1"/>
  <c r="Q188" i="1" s="1"/>
  <c r="K188" i="1"/>
  <c r="R188" i="1" s="1"/>
  <c r="J212" i="1"/>
  <c r="Q212" i="1" s="1"/>
  <c r="K212" i="1"/>
  <c r="R212" i="1" s="1"/>
  <c r="J236" i="1"/>
  <c r="Q236" i="1" s="1"/>
  <c r="K236" i="1"/>
  <c r="R236" i="1" s="1"/>
  <c r="J260" i="1"/>
  <c r="Q260" i="1" s="1"/>
  <c r="K260" i="1"/>
  <c r="R260" i="1" s="1"/>
  <c r="J284" i="1"/>
  <c r="Q284" i="1" s="1"/>
  <c r="K284" i="1"/>
  <c r="R284" i="1" s="1"/>
  <c r="J308" i="1"/>
  <c r="Q308" i="1" s="1"/>
  <c r="K308" i="1"/>
  <c r="R308" i="1" s="1"/>
  <c r="J332" i="1"/>
  <c r="Q332" i="1" s="1"/>
  <c r="K332" i="1"/>
  <c r="R332" i="1" s="1"/>
  <c r="J356" i="1"/>
  <c r="Q356" i="1" s="1"/>
  <c r="K356" i="1"/>
  <c r="R356" i="1" s="1"/>
  <c r="J64" i="1"/>
  <c r="Q64" i="1" s="1"/>
  <c r="K64" i="1"/>
  <c r="R64" i="1" s="1"/>
  <c r="J41" i="1"/>
  <c r="Q41" i="1" s="1"/>
  <c r="K41" i="1"/>
  <c r="R41" i="1" s="1"/>
  <c r="K186" i="1"/>
  <c r="R186" i="1" s="1"/>
  <c r="J186" i="1"/>
  <c r="Q186" i="1" s="1"/>
  <c r="J331" i="1"/>
  <c r="Q331" i="1" s="1"/>
  <c r="K331" i="1"/>
  <c r="R331" i="1" s="1"/>
  <c r="J21" i="1"/>
  <c r="Q21" i="1" s="1"/>
  <c r="K21" i="1"/>
  <c r="R21" i="1" s="1"/>
  <c r="K45" i="1"/>
  <c r="R45" i="1" s="1"/>
  <c r="J45" i="1"/>
  <c r="Q45" i="1" s="1"/>
  <c r="J69" i="1"/>
  <c r="Q69" i="1" s="1"/>
  <c r="K69" i="1"/>
  <c r="R69" i="1" s="1"/>
  <c r="J93" i="1"/>
  <c r="Q93" i="1" s="1"/>
  <c r="K93" i="1"/>
  <c r="R93" i="1" s="1"/>
  <c r="K117" i="1"/>
  <c r="R117" i="1" s="1"/>
  <c r="J117" i="1"/>
  <c r="Q117" i="1" s="1"/>
  <c r="J141" i="1"/>
  <c r="Q141" i="1" s="1"/>
  <c r="K141" i="1"/>
  <c r="R141" i="1" s="1"/>
  <c r="J165" i="1"/>
  <c r="Q165" i="1" s="1"/>
  <c r="K165" i="1"/>
  <c r="R165" i="1" s="1"/>
  <c r="K189" i="1"/>
  <c r="R189" i="1" s="1"/>
  <c r="J189" i="1"/>
  <c r="Q189" i="1" s="1"/>
  <c r="K213" i="1"/>
  <c r="R213" i="1" s="1"/>
  <c r="J213" i="1"/>
  <c r="Q213" i="1" s="1"/>
  <c r="K237" i="1"/>
  <c r="R237" i="1" s="1"/>
  <c r="J237" i="1"/>
  <c r="Q237" i="1" s="1"/>
  <c r="K261" i="1"/>
  <c r="R261" i="1" s="1"/>
  <c r="J261" i="1"/>
  <c r="Q261" i="1" s="1"/>
  <c r="J285" i="1"/>
  <c r="Q285" i="1" s="1"/>
  <c r="K285" i="1"/>
  <c r="R285" i="1" s="1"/>
  <c r="K309" i="1"/>
  <c r="R309" i="1" s="1"/>
  <c r="J309" i="1"/>
  <c r="Q309" i="1" s="1"/>
  <c r="K333" i="1"/>
  <c r="R333" i="1" s="1"/>
  <c r="J333" i="1"/>
  <c r="Q333" i="1" s="1"/>
  <c r="K357" i="1"/>
  <c r="R357" i="1" s="1"/>
  <c r="J357" i="1"/>
  <c r="Q357" i="1" s="1"/>
  <c r="K40" i="1"/>
  <c r="R40" i="1" s="1"/>
  <c r="J40" i="1"/>
  <c r="Q40" i="1" s="1"/>
  <c r="K328" i="1"/>
  <c r="R328" i="1" s="1"/>
  <c r="J328" i="1"/>
  <c r="Q328" i="1" s="1"/>
  <c r="J89" i="1"/>
  <c r="Q89" i="1" s="1"/>
  <c r="K89" i="1"/>
  <c r="R89" i="1" s="1"/>
  <c r="J20" i="1"/>
  <c r="Q20" i="1" s="1"/>
  <c r="K20" i="1"/>
  <c r="R20" i="1" s="1"/>
  <c r="K22" i="1"/>
  <c r="R22" i="1" s="1"/>
  <c r="J22" i="1"/>
  <c r="Q22" i="1" s="1"/>
  <c r="K46" i="1"/>
  <c r="R46" i="1" s="1"/>
  <c r="J46" i="1"/>
  <c r="Q46" i="1" s="1"/>
  <c r="K70" i="1"/>
  <c r="R70" i="1" s="1"/>
  <c r="J70" i="1"/>
  <c r="Q70" i="1" s="1"/>
  <c r="K94" i="1"/>
  <c r="R94" i="1" s="1"/>
  <c r="J94" i="1"/>
  <c r="Q94" i="1" s="1"/>
  <c r="K118" i="1"/>
  <c r="R118" i="1" s="1"/>
  <c r="J118" i="1"/>
  <c r="Q118" i="1" s="1"/>
  <c r="K142" i="1"/>
  <c r="R142" i="1" s="1"/>
  <c r="J142" i="1"/>
  <c r="Q142" i="1" s="1"/>
  <c r="K166" i="1"/>
  <c r="R166" i="1" s="1"/>
  <c r="J166" i="1"/>
  <c r="Q166" i="1" s="1"/>
  <c r="K190" i="1"/>
  <c r="R190" i="1" s="1"/>
  <c r="J190" i="1"/>
  <c r="Q190" i="1" s="1"/>
  <c r="K214" i="1"/>
  <c r="R214" i="1" s="1"/>
  <c r="J214" i="1"/>
  <c r="Q214" i="1" s="1"/>
  <c r="K238" i="1"/>
  <c r="R238" i="1" s="1"/>
  <c r="J238" i="1"/>
  <c r="Q238" i="1" s="1"/>
  <c r="K262" i="1"/>
  <c r="R262" i="1" s="1"/>
  <c r="J262" i="1"/>
  <c r="Q262" i="1" s="1"/>
  <c r="K286" i="1"/>
  <c r="R286" i="1" s="1"/>
  <c r="J286" i="1"/>
  <c r="Q286" i="1" s="1"/>
  <c r="K310" i="1"/>
  <c r="R310" i="1" s="1"/>
  <c r="J310" i="1"/>
  <c r="Q310" i="1" s="1"/>
  <c r="K334" i="1"/>
  <c r="R334" i="1" s="1"/>
  <c r="J334" i="1"/>
  <c r="Q334" i="1" s="1"/>
  <c r="K358" i="1"/>
  <c r="R358" i="1" s="1"/>
  <c r="J358" i="1"/>
  <c r="Q358" i="1" s="1"/>
  <c r="J113" i="1"/>
  <c r="Q113" i="1" s="1"/>
  <c r="K113" i="1"/>
  <c r="R113" i="1" s="1"/>
  <c r="J329" i="1"/>
  <c r="Q329" i="1" s="1"/>
  <c r="K329" i="1"/>
  <c r="R329" i="1" s="1"/>
  <c r="J66" i="1"/>
  <c r="Q66" i="1" s="1"/>
  <c r="K66" i="1"/>
  <c r="R66" i="1" s="1"/>
  <c r="K306" i="1"/>
  <c r="R306" i="1" s="1"/>
  <c r="J306" i="1"/>
  <c r="Q306" i="1" s="1"/>
  <c r="J19" i="1"/>
  <c r="Q19" i="1" s="1"/>
  <c r="K19" i="1"/>
  <c r="R19" i="1" s="1"/>
  <c r="J44" i="1"/>
  <c r="Q44" i="1" s="1"/>
  <c r="K44" i="1"/>
  <c r="R44" i="1" s="1"/>
  <c r="J23" i="1"/>
  <c r="Q23" i="1" s="1"/>
  <c r="K23" i="1"/>
  <c r="R23" i="1" s="1"/>
  <c r="J47" i="1"/>
  <c r="Q47" i="1" s="1"/>
  <c r="K47" i="1"/>
  <c r="R47" i="1" s="1"/>
  <c r="J71" i="1"/>
  <c r="Q71" i="1" s="1"/>
  <c r="K71" i="1"/>
  <c r="R71" i="1" s="1"/>
  <c r="J95" i="1"/>
  <c r="Q95" i="1" s="1"/>
  <c r="K95" i="1"/>
  <c r="R95" i="1" s="1"/>
  <c r="K119" i="1"/>
  <c r="R119" i="1" s="1"/>
  <c r="J119" i="1"/>
  <c r="Q119" i="1" s="1"/>
  <c r="J143" i="1"/>
  <c r="Q143" i="1" s="1"/>
  <c r="K143" i="1"/>
  <c r="R143" i="1" s="1"/>
  <c r="J167" i="1"/>
  <c r="Q167" i="1" s="1"/>
  <c r="K167" i="1"/>
  <c r="R167" i="1" s="1"/>
  <c r="J191" i="1"/>
  <c r="Q191" i="1" s="1"/>
  <c r="K191" i="1"/>
  <c r="R191" i="1" s="1"/>
  <c r="J215" i="1"/>
  <c r="Q215" i="1" s="1"/>
  <c r="K215" i="1"/>
  <c r="R215" i="1" s="1"/>
  <c r="J239" i="1"/>
  <c r="Q239" i="1" s="1"/>
  <c r="K239" i="1"/>
  <c r="R239" i="1" s="1"/>
  <c r="K263" i="1"/>
  <c r="R263" i="1" s="1"/>
  <c r="J263" i="1"/>
  <c r="Q263" i="1" s="1"/>
  <c r="J287" i="1"/>
  <c r="Q287" i="1" s="1"/>
  <c r="K287" i="1"/>
  <c r="R287" i="1" s="1"/>
  <c r="J311" i="1"/>
  <c r="Q311" i="1" s="1"/>
  <c r="K311" i="1"/>
  <c r="R311" i="1" s="1"/>
  <c r="J335" i="1"/>
  <c r="Q335" i="1" s="1"/>
  <c r="K335" i="1"/>
  <c r="R335" i="1" s="1"/>
  <c r="K359" i="1"/>
  <c r="R359" i="1" s="1"/>
  <c r="J359" i="1"/>
  <c r="Q359" i="1" s="1"/>
  <c r="K112" i="1"/>
  <c r="R112" i="1" s="1"/>
  <c r="J112" i="1"/>
  <c r="Q112" i="1" s="1"/>
  <c r="J305" i="1"/>
  <c r="Q305" i="1" s="1"/>
  <c r="K305" i="1"/>
  <c r="R305" i="1" s="1"/>
  <c r="K24" i="1"/>
  <c r="R24" i="1" s="1"/>
  <c r="J24" i="1"/>
  <c r="Q24" i="1" s="1"/>
  <c r="K48" i="1"/>
  <c r="R48" i="1" s="1"/>
  <c r="J48" i="1"/>
  <c r="Q48" i="1" s="1"/>
  <c r="K72" i="1"/>
  <c r="R72" i="1" s="1"/>
  <c r="J72" i="1"/>
  <c r="Q72" i="1" s="1"/>
  <c r="K96" i="1"/>
  <c r="R96" i="1" s="1"/>
  <c r="J96" i="1"/>
  <c r="Q96" i="1" s="1"/>
  <c r="K120" i="1"/>
  <c r="R120" i="1" s="1"/>
  <c r="J120" i="1"/>
  <c r="Q120" i="1" s="1"/>
  <c r="K144" i="1"/>
  <c r="R144" i="1" s="1"/>
  <c r="J144" i="1"/>
  <c r="Q144" i="1" s="1"/>
  <c r="K168" i="1"/>
  <c r="R168" i="1" s="1"/>
  <c r="J168" i="1"/>
  <c r="Q168" i="1" s="1"/>
  <c r="K192" i="1"/>
  <c r="R192" i="1" s="1"/>
  <c r="J192" i="1"/>
  <c r="Q192" i="1" s="1"/>
  <c r="K216" i="1"/>
  <c r="R216" i="1" s="1"/>
  <c r="J216" i="1"/>
  <c r="Q216" i="1" s="1"/>
  <c r="K240" i="1"/>
  <c r="R240" i="1" s="1"/>
  <c r="J240" i="1"/>
  <c r="Q240" i="1" s="1"/>
  <c r="K264" i="1"/>
  <c r="R264" i="1" s="1"/>
  <c r="J264" i="1"/>
  <c r="Q264" i="1" s="1"/>
  <c r="K288" i="1"/>
  <c r="R288" i="1" s="1"/>
  <c r="J288" i="1"/>
  <c r="Q288" i="1" s="1"/>
  <c r="K312" i="1"/>
  <c r="R312" i="1" s="1"/>
  <c r="J312" i="1"/>
  <c r="Q312" i="1" s="1"/>
  <c r="K336" i="1"/>
  <c r="R336" i="1" s="1"/>
  <c r="J336" i="1"/>
  <c r="Q336" i="1" s="1"/>
  <c r="K360" i="1"/>
  <c r="R360" i="1" s="1"/>
  <c r="J360" i="1"/>
  <c r="Q360" i="1" s="1"/>
  <c r="K361" i="1"/>
  <c r="R361" i="1" s="1"/>
  <c r="J361" i="1"/>
  <c r="Q361" i="1" s="1"/>
  <c r="K160" i="1"/>
  <c r="R160" i="1" s="1"/>
  <c r="J160" i="1"/>
  <c r="Q160" i="1" s="1"/>
  <c r="K330" i="1"/>
  <c r="R330" i="1" s="1"/>
  <c r="J330" i="1"/>
  <c r="Q330" i="1" s="1"/>
  <c r="K49" i="1"/>
  <c r="R49" i="1" s="1"/>
  <c r="J49" i="1"/>
  <c r="Q49" i="1" s="1"/>
  <c r="K74" i="1"/>
  <c r="R74" i="1" s="1"/>
  <c r="J74" i="1"/>
  <c r="Q74" i="1" s="1"/>
  <c r="J194" i="1"/>
  <c r="Q194" i="1" s="1"/>
  <c r="K194" i="1"/>
  <c r="R194" i="1" s="1"/>
  <c r="J242" i="1"/>
  <c r="Q242" i="1" s="1"/>
  <c r="K242" i="1"/>
  <c r="R242" i="1" s="1"/>
  <c r="J266" i="1"/>
  <c r="Q266" i="1" s="1"/>
  <c r="K266" i="1"/>
  <c r="R266" i="1" s="1"/>
  <c r="J290" i="1"/>
  <c r="Q290" i="1" s="1"/>
  <c r="K290" i="1"/>
  <c r="R290" i="1" s="1"/>
  <c r="J314" i="1"/>
  <c r="Q314" i="1" s="1"/>
  <c r="K314" i="1"/>
  <c r="R314" i="1" s="1"/>
  <c r="J338" i="1"/>
  <c r="Q338" i="1" s="1"/>
  <c r="K338" i="1"/>
  <c r="R338" i="1" s="1"/>
  <c r="J362" i="1"/>
  <c r="Q362" i="1" s="1"/>
  <c r="K362" i="1"/>
  <c r="R362" i="1" s="1"/>
  <c r="K304" i="1"/>
  <c r="R304" i="1" s="1"/>
  <c r="J304" i="1"/>
  <c r="Q304" i="1" s="1"/>
  <c r="K282" i="1"/>
  <c r="R282" i="1" s="1"/>
  <c r="J282" i="1"/>
  <c r="Q282" i="1" s="1"/>
  <c r="J75" i="1"/>
  <c r="Q75" i="1" s="1"/>
  <c r="K75" i="1"/>
  <c r="R75" i="1" s="1"/>
  <c r="J195" i="1"/>
  <c r="Q195" i="1" s="1"/>
  <c r="K195" i="1"/>
  <c r="R195" i="1" s="1"/>
  <c r="J219" i="1"/>
  <c r="Q219" i="1" s="1"/>
  <c r="K219" i="1"/>
  <c r="R219" i="1" s="1"/>
  <c r="J243" i="1"/>
  <c r="Q243" i="1" s="1"/>
  <c r="K243" i="1"/>
  <c r="R243" i="1" s="1"/>
  <c r="J267" i="1"/>
  <c r="Q267" i="1" s="1"/>
  <c r="K267" i="1"/>
  <c r="R267" i="1" s="1"/>
  <c r="J291" i="1"/>
  <c r="Q291" i="1" s="1"/>
  <c r="K291" i="1"/>
  <c r="R291" i="1" s="1"/>
  <c r="J315" i="1"/>
  <c r="Q315" i="1" s="1"/>
  <c r="K315" i="1"/>
  <c r="R315" i="1" s="1"/>
  <c r="J339" i="1"/>
  <c r="Q339" i="1" s="1"/>
  <c r="K339" i="1"/>
  <c r="R339" i="1" s="1"/>
  <c r="J363" i="1"/>
  <c r="Q363" i="1" s="1"/>
  <c r="K363" i="1"/>
  <c r="R363" i="1" s="1"/>
  <c r="J65" i="1"/>
  <c r="Q65" i="1" s="1"/>
  <c r="K65" i="1"/>
  <c r="R65" i="1" s="1"/>
  <c r="K25" i="1"/>
  <c r="R25" i="1" s="1"/>
  <c r="J25" i="1"/>
  <c r="Q25" i="1" s="1"/>
  <c r="J185" i="1"/>
  <c r="Q185" i="1" s="1"/>
  <c r="K185" i="1"/>
  <c r="R185" i="1" s="1"/>
  <c r="J138" i="1"/>
  <c r="Q138" i="1" s="1"/>
  <c r="K138" i="1"/>
  <c r="R138" i="1" s="1"/>
  <c r="J115" i="1"/>
  <c r="Q115" i="1" s="1"/>
  <c r="K115" i="1"/>
  <c r="R115" i="1" s="1"/>
  <c r="J259" i="1"/>
  <c r="Q259" i="1" s="1"/>
  <c r="K259" i="1"/>
  <c r="R259" i="1" s="1"/>
  <c r="K97" i="1"/>
  <c r="R97" i="1" s="1"/>
  <c r="J97" i="1"/>
  <c r="Q97" i="1" s="1"/>
  <c r="K289" i="1"/>
  <c r="R289" i="1" s="1"/>
  <c r="J289" i="1"/>
  <c r="Q289" i="1" s="1"/>
  <c r="K146" i="1"/>
  <c r="R146" i="1" s="1"/>
  <c r="J146" i="1"/>
  <c r="Q146" i="1" s="1"/>
  <c r="J171" i="1"/>
  <c r="Q171" i="1" s="1"/>
  <c r="K171" i="1"/>
  <c r="R171" i="1" s="1"/>
  <c r="K28" i="1"/>
  <c r="R28" i="1" s="1"/>
  <c r="J28" i="1"/>
  <c r="Q28" i="1" s="1"/>
  <c r="K76" i="1"/>
  <c r="R76" i="1" s="1"/>
  <c r="J76" i="1"/>
  <c r="Q76" i="1" s="1"/>
  <c r="K148" i="1"/>
  <c r="R148" i="1" s="1"/>
  <c r="J148" i="1"/>
  <c r="Q148" i="1" s="1"/>
  <c r="K196" i="1"/>
  <c r="R196" i="1" s="1"/>
  <c r="J196" i="1"/>
  <c r="Q196" i="1" s="1"/>
  <c r="K244" i="1"/>
  <c r="R244" i="1" s="1"/>
  <c r="J244" i="1"/>
  <c r="Q244" i="1" s="1"/>
  <c r="K292" i="1"/>
  <c r="R292" i="1" s="1"/>
  <c r="J292" i="1"/>
  <c r="Q292" i="1" s="1"/>
  <c r="K340" i="1"/>
  <c r="R340" i="1" s="1"/>
  <c r="J340" i="1"/>
  <c r="Q340" i="1" s="1"/>
  <c r="K364" i="1"/>
  <c r="R364" i="1" s="1"/>
  <c r="J364" i="1"/>
  <c r="Q364" i="1" s="1"/>
  <c r="J29" i="1"/>
  <c r="Q29" i="1" s="1"/>
  <c r="K29" i="1"/>
  <c r="R29" i="1" s="1"/>
  <c r="K53" i="1"/>
  <c r="R53" i="1" s="1"/>
  <c r="J53" i="1"/>
  <c r="Q53" i="1" s="1"/>
  <c r="J77" i="1"/>
  <c r="Q77" i="1" s="1"/>
  <c r="K77" i="1"/>
  <c r="R77" i="1" s="1"/>
  <c r="J101" i="1"/>
  <c r="Q101" i="1" s="1"/>
  <c r="K101" i="1"/>
  <c r="R101" i="1" s="1"/>
  <c r="K125" i="1"/>
  <c r="R125" i="1" s="1"/>
  <c r="J125" i="1"/>
  <c r="Q125" i="1" s="1"/>
  <c r="K149" i="1"/>
  <c r="R149" i="1" s="1"/>
  <c r="J149" i="1"/>
  <c r="Q149" i="1" s="1"/>
  <c r="K173" i="1"/>
  <c r="R173" i="1" s="1"/>
  <c r="J173" i="1"/>
  <c r="Q173" i="1" s="1"/>
  <c r="J197" i="1"/>
  <c r="Q197" i="1" s="1"/>
  <c r="K197" i="1"/>
  <c r="R197" i="1" s="1"/>
  <c r="K221" i="1"/>
  <c r="R221" i="1" s="1"/>
  <c r="J221" i="1"/>
  <c r="Q221" i="1" s="1"/>
  <c r="K245" i="1"/>
  <c r="R245" i="1" s="1"/>
  <c r="J245" i="1"/>
  <c r="Q245" i="1" s="1"/>
  <c r="K269" i="1"/>
  <c r="R269" i="1" s="1"/>
  <c r="J269" i="1"/>
  <c r="Q269" i="1" s="1"/>
  <c r="K293" i="1"/>
  <c r="R293" i="1" s="1"/>
  <c r="J293" i="1"/>
  <c r="Q293" i="1" s="1"/>
  <c r="K317" i="1"/>
  <c r="R317" i="1" s="1"/>
  <c r="J317" i="1"/>
  <c r="Q317" i="1" s="1"/>
  <c r="K341" i="1"/>
  <c r="R341" i="1" s="1"/>
  <c r="J341" i="1"/>
  <c r="Q341" i="1" s="1"/>
  <c r="K365" i="1"/>
  <c r="R365" i="1" s="1"/>
  <c r="J365" i="1"/>
  <c r="Q365" i="1" s="1"/>
  <c r="K232" i="1"/>
  <c r="R232" i="1" s="1"/>
  <c r="J232" i="1"/>
  <c r="Q232" i="1" s="1"/>
  <c r="J257" i="1"/>
  <c r="Q257" i="1" s="1"/>
  <c r="K257" i="1"/>
  <c r="R257" i="1" s="1"/>
  <c r="J234" i="1"/>
  <c r="Q234" i="1" s="1"/>
  <c r="K234" i="1"/>
  <c r="R234" i="1" s="1"/>
  <c r="J163" i="1"/>
  <c r="Q163" i="1" s="1"/>
  <c r="K163" i="1"/>
  <c r="R163" i="1" s="1"/>
  <c r="K217" i="1"/>
  <c r="R217" i="1" s="1"/>
  <c r="J217" i="1"/>
  <c r="Q217" i="1" s="1"/>
  <c r="K98" i="1"/>
  <c r="R98" i="1" s="1"/>
  <c r="J98" i="1"/>
  <c r="Q98" i="1" s="1"/>
  <c r="K100" i="1"/>
  <c r="R100" i="1" s="1"/>
  <c r="J100" i="1"/>
  <c r="Q100" i="1" s="1"/>
  <c r="K30" i="1"/>
  <c r="R30" i="1" s="1"/>
  <c r="J30" i="1"/>
  <c r="Q30" i="1" s="1"/>
  <c r="K78" i="1"/>
  <c r="R78" i="1" s="1"/>
  <c r="J78" i="1"/>
  <c r="Q78" i="1" s="1"/>
  <c r="K126" i="1"/>
  <c r="R126" i="1" s="1"/>
  <c r="J126" i="1"/>
  <c r="Q126" i="1" s="1"/>
  <c r="K174" i="1"/>
  <c r="R174" i="1" s="1"/>
  <c r="J174" i="1"/>
  <c r="Q174" i="1" s="1"/>
  <c r="K198" i="1"/>
  <c r="R198" i="1" s="1"/>
  <c r="J198" i="1"/>
  <c r="Q198" i="1" s="1"/>
  <c r="K222" i="1"/>
  <c r="R222" i="1" s="1"/>
  <c r="J222" i="1"/>
  <c r="Q222" i="1" s="1"/>
  <c r="K246" i="1"/>
  <c r="R246" i="1" s="1"/>
  <c r="J246" i="1"/>
  <c r="Q246" i="1" s="1"/>
  <c r="K270" i="1"/>
  <c r="R270" i="1" s="1"/>
  <c r="J270" i="1"/>
  <c r="Q270" i="1" s="1"/>
  <c r="K294" i="1"/>
  <c r="R294" i="1" s="1"/>
  <c r="J294" i="1"/>
  <c r="Q294" i="1" s="1"/>
  <c r="K342" i="1"/>
  <c r="R342" i="1" s="1"/>
  <c r="J342" i="1"/>
  <c r="Q342" i="1" s="1"/>
  <c r="K366" i="1"/>
  <c r="R366" i="1" s="1"/>
  <c r="J366" i="1"/>
  <c r="Q366" i="1" s="1"/>
  <c r="K88" i="1"/>
  <c r="R88" i="1" s="1"/>
  <c r="J88" i="1"/>
  <c r="Q88" i="1" s="1"/>
  <c r="J161" i="1"/>
  <c r="Q161" i="1" s="1"/>
  <c r="K161" i="1"/>
  <c r="R161" i="1" s="1"/>
  <c r="J353" i="1"/>
  <c r="Q353" i="1" s="1"/>
  <c r="K353" i="1"/>
  <c r="R353" i="1" s="1"/>
  <c r="K90" i="1"/>
  <c r="R90" i="1" s="1"/>
  <c r="J90" i="1"/>
  <c r="Q90" i="1" s="1"/>
  <c r="J283" i="1"/>
  <c r="Q283" i="1" s="1"/>
  <c r="K283" i="1"/>
  <c r="R283" i="1" s="1"/>
  <c r="K145" i="1"/>
  <c r="R145" i="1" s="1"/>
  <c r="J145" i="1"/>
  <c r="Q145" i="1" s="1"/>
  <c r="K313" i="1"/>
  <c r="R313" i="1" s="1"/>
  <c r="J313" i="1"/>
  <c r="Q313" i="1" s="1"/>
  <c r="J170" i="1"/>
  <c r="Q170" i="1" s="1"/>
  <c r="K170" i="1"/>
  <c r="R170" i="1" s="1"/>
  <c r="J123" i="1"/>
  <c r="Q123" i="1" s="1"/>
  <c r="K123" i="1"/>
  <c r="R123" i="1" s="1"/>
  <c r="K52" i="1"/>
  <c r="R52" i="1" s="1"/>
  <c r="J52" i="1"/>
  <c r="Q52" i="1" s="1"/>
  <c r="K124" i="1"/>
  <c r="R124" i="1" s="1"/>
  <c r="J124" i="1"/>
  <c r="Q124" i="1" s="1"/>
  <c r="K172" i="1"/>
  <c r="R172" i="1" s="1"/>
  <c r="J172" i="1"/>
  <c r="Q172" i="1" s="1"/>
  <c r="K220" i="1"/>
  <c r="R220" i="1" s="1"/>
  <c r="J220" i="1"/>
  <c r="Q220" i="1" s="1"/>
  <c r="K268" i="1"/>
  <c r="R268" i="1" s="1"/>
  <c r="J268" i="1"/>
  <c r="Q268" i="1" s="1"/>
  <c r="K316" i="1"/>
  <c r="R316" i="1" s="1"/>
  <c r="J316" i="1"/>
  <c r="Q316" i="1" s="1"/>
  <c r="K54" i="1"/>
  <c r="R54" i="1" s="1"/>
  <c r="J54" i="1"/>
  <c r="Q54" i="1" s="1"/>
  <c r="K102" i="1"/>
  <c r="R102" i="1" s="1"/>
  <c r="J102" i="1"/>
  <c r="Q102" i="1" s="1"/>
  <c r="K150" i="1"/>
  <c r="R150" i="1" s="1"/>
  <c r="J150" i="1"/>
  <c r="Q150" i="1" s="1"/>
  <c r="K318" i="1"/>
  <c r="R318" i="1" s="1"/>
  <c r="J318" i="1"/>
  <c r="Q318" i="1" s="1"/>
  <c r="K31" i="1"/>
  <c r="R31" i="1" s="1"/>
  <c r="J31" i="1"/>
  <c r="Q31" i="1" s="1"/>
  <c r="K55" i="1"/>
  <c r="R55" i="1" s="1"/>
  <c r="J55" i="1"/>
  <c r="Q55" i="1" s="1"/>
  <c r="K79" i="1"/>
  <c r="R79" i="1" s="1"/>
  <c r="J79" i="1"/>
  <c r="Q79" i="1" s="1"/>
  <c r="K103" i="1"/>
  <c r="R103" i="1" s="1"/>
  <c r="J103" i="1"/>
  <c r="Q103" i="1" s="1"/>
  <c r="K127" i="1"/>
  <c r="R127" i="1" s="1"/>
  <c r="J127" i="1"/>
  <c r="Q127" i="1" s="1"/>
  <c r="K151" i="1"/>
  <c r="R151" i="1" s="1"/>
  <c r="J151" i="1"/>
  <c r="Q151" i="1" s="1"/>
  <c r="K175" i="1"/>
  <c r="R175" i="1" s="1"/>
  <c r="J175" i="1"/>
  <c r="Q175" i="1" s="1"/>
  <c r="K199" i="1"/>
  <c r="R199" i="1" s="1"/>
  <c r="J199" i="1"/>
  <c r="Q199" i="1" s="1"/>
  <c r="K223" i="1"/>
  <c r="R223" i="1" s="1"/>
  <c r="J223" i="1"/>
  <c r="Q223" i="1" s="1"/>
  <c r="K247" i="1"/>
  <c r="R247" i="1" s="1"/>
  <c r="J247" i="1"/>
  <c r="Q247" i="1" s="1"/>
  <c r="K271" i="1"/>
  <c r="R271" i="1" s="1"/>
  <c r="J271" i="1"/>
  <c r="Q271" i="1" s="1"/>
  <c r="K295" i="1"/>
  <c r="R295" i="1" s="1"/>
  <c r="J295" i="1"/>
  <c r="Q295" i="1" s="1"/>
  <c r="K319" i="1"/>
  <c r="R319" i="1" s="1"/>
  <c r="J319" i="1"/>
  <c r="Q319" i="1" s="1"/>
  <c r="K343" i="1"/>
  <c r="R343" i="1" s="1"/>
  <c r="J343" i="1"/>
  <c r="Q343" i="1" s="1"/>
  <c r="K367" i="1"/>
  <c r="R367" i="1" s="1"/>
  <c r="J367" i="1"/>
  <c r="Q367" i="1" s="1"/>
  <c r="J256" i="1"/>
  <c r="Q256" i="1" s="1"/>
  <c r="K256" i="1"/>
  <c r="R256" i="1" s="1"/>
  <c r="J211" i="1"/>
  <c r="Q211" i="1" s="1"/>
  <c r="K211" i="1"/>
  <c r="R211" i="1" s="1"/>
  <c r="K368" i="1"/>
  <c r="R368" i="1" s="1"/>
  <c r="J368" i="1"/>
  <c r="Q368" i="1" s="1"/>
  <c r="J352" i="1"/>
  <c r="Q352" i="1" s="1"/>
  <c r="K352" i="1"/>
  <c r="R352" i="1" s="1"/>
  <c r="J43" i="1"/>
  <c r="Q43" i="1" s="1"/>
  <c r="K43" i="1"/>
  <c r="R43" i="1" s="1"/>
  <c r="J249" i="1"/>
  <c r="Q249" i="1" s="1"/>
  <c r="K249" i="1"/>
  <c r="R249" i="1" s="1"/>
  <c r="J17" i="1"/>
  <c r="Q17" i="1" s="1"/>
  <c r="K17" i="1"/>
  <c r="R17" i="1" s="1"/>
  <c r="J209" i="1"/>
  <c r="Q209" i="1" s="1"/>
  <c r="K209" i="1"/>
  <c r="R209" i="1" s="1"/>
  <c r="K18" i="1"/>
  <c r="R18" i="1" s="1"/>
  <c r="J18" i="1"/>
  <c r="Q18" i="1" s="1"/>
  <c r="J162" i="1"/>
  <c r="Q162" i="1" s="1"/>
  <c r="K162" i="1"/>
  <c r="R162" i="1" s="1"/>
  <c r="J91" i="1"/>
  <c r="Q91" i="1" s="1"/>
  <c r="K91" i="1"/>
  <c r="R91" i="1" s="1"/>
  <c r="J235" i="1"/>
  <c r="Q235" i="1" s="1"/>
  <c r="K235" i="1"/>
  <c r="R235" i="1" s="1"/>
  <c r="K73" i="1"/>
  <c r="R73" i="1" s="1"/>
  <c r="J73" i="1"/>
  <c r="Q73" i="1" s="1"/>
  <c r="K169" i="1"/>
  <c r="R169" i="1" s="1"/>
  <c r="J169" i="1"/>
  <c r="Q169" i="1" s="1"/>
  <c r="K265" i="1"/>
  <c r="R265" i="1" s="1"/>
  <c r="J265" i="1"/>
  <c r="Q265" i="1" s="1"/>
  <c r="J218" i="1"/>
  <c r="Q218" i="1" s="1"/>
  <c r="K218" i="1"/>
  <c r="R218" i="1" s="1"/>
  <c r="J99" i="1"/>
  <c r="Q99" i="1" s="1"/>
  <c r="K99" i="1"/>
  <c r="R99" i="1" s="1"/>
  <c r="K56" i="1"/>
  <c r="R56" i="1" s="1"/>
  <c r="J56" i="1"/>
  <c r="Q56" i="1" s="1"/>
  <c r="K128" i="1"/>
  <c r="R128" i="1" s="1"/>
  <c r="J128" i="1"/>
  <c r="Q128" i="1" s="1"/>
  <c r="K176" i="1"/>
  <c r="R176" i="1" s="1"/>
  <c r="J176" i="1"/>
  <c r="Q176" i="1" s="1"/>
  <c r="K248" i="1"/>
  <c r="R248" i="1" s="1"/>
  <c r="J248" i="1"/>
  <c r="Q248" i="1" s="1"/>
  <c r="K320" i="1"/>
  <c r="R320" i="1" s="1"/>
  <c r="J320" i="1"/>
  <c r="Q320" i="1" s="1"/>
  <c r="J33" i="1"/>
  <c r="Q33" i="1" s="1"/>
  <c r="K33" i="1"/>
  <c r="R33" i="1" s="1"/>
  <c r="J129" i="1"/>
  <c r="Q129" i="1" s="1"/>
  <c r="K129" i="1"/>
  <c r="R129" i="1" s="1"/>
  <c r="J153" i="1"/>
  <c r="Q153" i="1" s="1"/>
  <c r="K153" i="1"/>
  <c r="R153" i="1" s="1"/>
  <c r="J225" i="1"/>
  <c r="Q225" i="1" s="1"/>
  <c r="K225" i="1"/>
  <c r="R225" i="1" s="1"/>
  <c r="K273" i="1"/>
  <c r="R273" i="1" s="1"/>
  <c r="J273" i="1"/>
  <c r="Q273" i="1" s="1"/>
  <c r="K345" i="1"/>
  <c r="R345" i="1" s="1"/>
  <c r="J345" i="1"/>
  <c r="Q345" i="1" s="1"/>
  <c r="J34" i="1"/>
  <c r="Q34" i="1" s="1"/>
  <c r="K34" i="1"/>
  <c r="R34" i="1" s="1"/>
  <c r="K58" i="1"/>
  <c r="R58" i="1" s="1"/>
  <c r="J58" i="1"/>
  <c r="Q58" i="1" s="1"/>
  <c r="J82" i="1"/>
  <c r="Q82" i="1" s="1"/>
  <c r="K82" i="1"/>
  <c r="R82" i="1" s="1"/>
  <c r="J106" i="1"/>
  <c r="Q106" i="1" s="1"/>
  <c r="K106" i="1"/>
  <c r="R106" i="1" s="1"/>
  <c r="J130" i="1"/>
  <c r="Q130" i="1" s="1"/>
  <c r="K130" i="1"/>
  <c r="R130" i="1" s="1"/>
  <c r="K154" i="1"/>
  <c r="R154" i="1" s="1"/>
  <c r="J154" i="1"/>
  <c r="Q154" i="1" s="1"/>
  <c r="K178" i="1"/>
  <c r="R178" i="1" s="1"/>
  <c r="J178" i="1"/>
  <c r="Q178" i="1" s="1"/>
  <c r="K202" i="1"/>
  <c r="R202" i="1" s="1"/>
  <c r="J202" i="1"/>
  <c r="Q202" i="1" s="1"/>
  <c r="K226" i="1"/>
  <c r="R226" i="1" s="1"/>
  <c r="J226" i="1"/>
  <c r="Q226" i="1" s="1"/>
  <c r="K250" i="1"/>
  <c r="R250" i="1" s="1"/>
  <c r="J250" i="1"/>
  <c r="Q250" i="1" s="1"/>
  <c r="K274" i="1"/>
  <c r="R274" i="1" s="1"/>
  <c r="J274" i="1"/>
  <c r="Q274" i="1" s="1"/>
  <c r="K298" i="1"/>
  <c r="R298" i="1" s="1"/>
  <c r="J298" i="1"/>
  <c r="Q298" i="1" s="1"/>
  <c r="J322" i="1"/>
  <c r="Q322" i="1" s="1"/>
  <c r="K322" i="1"/>
  <c r="R322" i="1" s="1"/>
  <c r="K346" i="1"/>
  <c r="R346" i="1" s="1"/>
  <c r="J346" i="1"/>
  <c r="Q346" i="1" s="1"/>
  <c r="K370" i="1"/>
  <c r="R370" i="1" s="1"/>
  <c r="J370" i="1"/>
  <c r="Q370" i="1" s="1"/>
  <c r="K208" i="1"/>
  <c r="R208" i="1" s="1"/>
  <c r="J208" i="1"/>
  <c r="Q208" i="1" s="1"/>
  <c r="J233" i="1"/>
  <c r="Q233" i="1" s="1"/>
  <c r="K233" i="1"/>
  <c r="R233" i="1" s="1"/>
  <c r="K210" i="1"/>
  <c r="R210" i="1" s="1"/>
  <c r="J210" i="1"/>
  <c r="Q210" i="1" s="1"/>
  <c r="J187" i="1"/>
  <c r="Q187" i="1" s="1"/>
  <c r="K187" i="1"/>
  <c r="R187" i="1" s="1"/>
  <c r="K241" i="1"/>
  <c r="R241" i="1" s="1"/>
  <c r="J241" i="1"/>
  <c r="Q241" i="1" s="1"/>
  <c r="K50" i="1"/>
  <c r="R50" i="1" s="1"/>
  <c r="J50" i="1"/>
  <c r="Q50" i="1" s="1"/>
  <c r="J27" i="1"/>
  <c r="Q27" i="1" s="1"/>
  <c r="K27" i="1"/>
  <c r="R27" i="1" s="1"/>
  <c r="K32" i="1"/>
  <c r="R32" i="1" s="1"/>
  <c r="J32" i="1"/>
  <c r="Q32" i="1" s="1"/>
  <c r="J81" i="1"/>
  <c r="Q81" i="1" s="1"/>
  <c r="K81" i="1"/>
  <c r="R81" i="1" s="1"/>
  <c r="K201" i="1"/>
  <c r="R201" i="1" s="1"/>
  <c r="J201" i="1"/>
  <c r="Q201" i="1" s="1"/>
  <c r="J321" i="1"/>
  <c r="Q321" i="1" s="1"/>
  <c r="K321" i="1"/>
  <c r="R321" i="1" s="1"/>
  <c r="K11" i="1"/>
  <c r="J11" i="1"/>
  <c r="J35" i="1"/>
  <c r="Q35" i="1" s="1"/>
  <c r="K35" i="1"/>
  <c r="R35" i="1" s="1"/>
  <c r="K59" i="1"/>
  <c r="R59" i="1" s="1"/>
  <c r="J59" i="1"/>
  <c r="Q59" i="1" s="1"/>
  <c r="J83" i="1"/>
  <c r="Q83" i="1" s="1"/>
  <c r="K83" i="1"/>
  <c r="R83" i="1" s="1"/>
  <c r="J107" i="1"/>
  <c r="Q107" i="1" s="1"/>
  <c r="K107" i="1"/>
  <c r="R107" i="1" s="1"/>
  <c r="J131" i="1"/>
  <c r="Q131" i="1" s="1"/>
  <c r="K131" i="1"/>
  <c r="R131" i="1" s="1"/>
  <c r="K155" i="1"/>
  <c r="R155" i="1" s="1"/>
  <c r="J155" i="1"/>
  <c r="Q155" i="1" s="1"/>
  <c r="K179" i="1"/>
  <c r="R179" i="1" s="1"/>
  <c r="J179" i="1"/>
  <c r="Q179" i="1" s="1"/>
  <c r="J203" i="1"/>
  <c r="Q203" i="1" s="1"/>
  <c r="K203" i="1"/>
  <c r="R203" i="1" s="1"/>
  <c r="K227" i="1"/>
  <c r="R227" i="1" s="1"/>
  <c r="J227" i="1"/>
  <c r="Q227" i="1" s="1"/>
  <c r="K251" i="1"/>
  <c r="R251" i="1" s="1"/>
  <c r="J251" i="1"/>
  <c r="Q251" i="1" s="1"/>
  <c r="K275" i="1"/>
  <c r="R275" i="1" s="1"/>
  <c r="J275" i="1"/>
  <c r="Q275" i="1" s="1"/>
  <c r="K299" i="1"/>
  <c r="R299" i="1" s="1"/>
  <c r="J299" i="1"/>
  <c r="Q299" i="1" s="1"/>
  <c r="J323" i="1"/>
  <c r="Q323" i="1" s="1"/>
  <c r="K323" i="1"/>
  <c r="R323" i="1" s="1"/>
  <c r="K347" i="1"/>
  <c r="R347" i="1" s="1"/>
  <c r="J347" i="1"/>
  <c r="Q347" i="1" s="1"/>
  <c r="K371" i="1"/>
  <c r="R371" i="1" s="1"/>
  <c r="J371" i="1"/>
  <c r="Q371" i="1" s="1"/>
  <c r="J114" i="1"/>
  <c r="Q114" i="1" s="1"/>
  <c r="K114" i="1"/>
  <c r="R114" i="1" s="1"/>
  <c r="J354" i="1"/>
  <c r="Q354" i="1" s="1"/>
  <c r="K354" i="1"/>
  <c r="R354" i="1" s="1"/>
  <c r="J67" i="1"/>
  <c r="Q67" i="1" s="1"/>
  <c r="K67" i="1"/>
  <c r="R67" i="1" s="1"/>
  <c r="J307" i="1"/>
  <c r="Q307" i="1" s="1"/>
  <c r="K307" i="1"/>
  <c r="R307" i="1" s="1"/>
  <c r="K121" i="1"/>
  <c r="R121" i="1" s="1"/>
  <c r="J121" i="1"/>
  <c r="Q121" i="1" s="1"/>
  <c r="K337" i="1"/>
  <c r="R337" i="1" s="1"/>
  <c r="J337" i="1"/>
  <c r="Q337" i="1" s="1"/>
  <c r="K122" i="1"/>
  <c r="R122" i="1" s="1"/>
  <c r="J122" i="1"/>
  <c r="Q122" i="1" s="1"/>
  <c r="J147" i="1"/>
  <c r="Q147" i="1" s="1"/>
  <c r="K147" i="1"/>
  <c r="R147" i="1" s="1"/>
  <c r="K80" i="1"/>
  <c r="R80" i="1" s="1"/>
  <c r="J80" i="1"/>
  <c r="Q80" i="1" s="1"/>
  <c r="K104" i="1"/>
  <c r="R104" i="1" s="1"/>
  <c r="J104" i="1"/>
  <c r="Q104" i="1" s="1"/>
  <c r="K152" i="1"/>
  <c r="R152" i="1" s="1"/>
  <c r="J152" i="1"/>
  <c r="Q152" i="1" s="1"/>
  <c r="K224" i="1"/>
  <c r="R224" i="1" s="1"/>
  <c r="J224" i="1"/>
  <c r="Q224" i="1" s="1"/>
  <c r="K272" i="1"/>
  <c r="R272" i="1" s="1"/>
  <c r="J272" i="1"/>
  <c r="Q272" i="1" s="1"/>
  <c r="K296" i="1"/>
  <c r="R296" i="1" s="1"/>
  <c r="J296" i="1"/>
  <c r="Q296" i="1" s="1"/>
  <c r="K344" i="1"/>
  <c r="R344" i="1" s="1"/>
  <c r="J344" i="1"/>
  <c r="Q344" i="1" s="1"/>
  <c r="J57" i="1"/>
  <c r="Q57" i="1" s="1"/>
  <c r="K57" i="1"/>
  <c r="R57" i="1" s="1"/>
  <c r="K105" i="1"/>
  <c r="R105" i="1" s="1"/>
  <c r="J105" i="1"/>
  <c r="Q105" i="1" s="1"/>
  <c r="K177" i="1"/>
  <c r="R177" i="1" s="1"/>
  <c r="J177" i="1"/>
  <c r="Q177" i="1" s="1"/>
  <c r="K297" i="1"/>
  <c r="R297" i="1" s="1"/>
  <c r="J297" i="1"/>
  <c r="Q297" i="1" s="1"/>
  <c r="K369" i="1"/>
  <c r="R369" i="1" s="1"/>
  <c r="J369" i="1"/>
  <c r="Q369" i="1" s="1"/>
  <c r="J12" i="1"/>
  <c r="Q12" i="1" s="1"/>
  <c r="K12" i="1"/>
  <c r="R12" i="1" s="1"/>
  <c r="J36" i="1"/>
  <c r="Q36" i="1" s="1"/>
  <c r="K36" i="1"/>
  <c r="R36" i="1" s="1"/>
  <c r="K60" i="1"/>
  <c r="R60" i="1" s="1"/>
  <c r="J60" i="1"/>
  <c r="Q60" i="1" s="1"/>
  <c r="K84" i="1"/>
  <c r="R84" i="1" s="1"/>
  <c r="J84" i="1"/>
  <c r="Q84" i="1" s="1"/>
  <c r="J108" i="1"/>
  <c r="Q108" i="1" s="1"/>
  <c r="K108" i="1"/>
  <c r="R108" i="1" s="1"/>
  <c r="J132" i="1"/>
  <c r="Q132" i="1" s="1"/>
  <c r="K132" i="1"/>
  <c r="R132" i="1" s="1"/>
  <c r="K156" i="1"/>
  <c r="R156" i="1" s="1"/>
  <c r="J156" i="1"/>
  <c r="Q156" i="1" s="1"/>
  <c r="K180" i="1"/>
  <c r="R180" i="1" s="1"/>
  <c r="J180" i="1"/>
  <c r="Q180" i="1" s="1"/>
  <c r="K204" i="1"/>
  <c r="R204" i="1" s="1"/>
  <c r="J204" i="1"/>
  <c r="Q204" i="1" s="1"/>
  <c r="K228" i="1"/>
  <c r="R228" i="1" s="1"/>
  <c r="J228" i="1"/>
  <c r="Q228" i="1" s="1"/>
  <c r="K252" i="1"/>
  <c r="R252" i="1" s="1"/>
  <c r="J252" i="1"/>
  <c r="Q252" i="1" s="1"/>
  <c r="K276" i="1"/>
  <c r="R276" i="1" s="1"/>
  <c r="J276" i="1"/>
  <c r="Q276" i="1" s="1"/>
  <c r="K300" i="1"/>
  <c r="R300" i="1" s="1"/>
  <c r="J300" i="1"/>
  <c r="Q300" i="1" s="1"/>
  <c r="J324" i="1"/>
  <c r="Q324" i="1" s="1"/>
  <c r="K324" i="1"/>
  <c r="R324" i="1" s="1"/>
  <c r="J348" i="1"/>
  <c r="Q348" i="1" s="1"/>
  <c r="K348" i="1"/>
  <c r="R348" i="1" s="1"/>
  <c r="K372" i="1"/>
  <c r="R372" i="1" s="1"/>
  <c r="J372" i="1"/>
  <c r="Q372" i="1" s="1"/>
  <c r="K184" i="1"/>
  <c r="R184" i="1" s="1"/>
  <c r="J184" i="1"/>
  <c r="Q184" i="1" s="1"/>
  <c r="J355" i="1"/>
  <c r="Q355" i="1" s="1"/>
  <c r="K355" i="1"/>
  <c r="R355" i="1" s="1"/>
  <c r="J51" i="1"/>
  <c r="Q51" i="1" s="1"/>
  <c r="K51" i="1"/>
  <c r="R51" i="1" s="1"/>
  <c r="K13" i="1"/>
  <c r="R13" i="1" s="1"/>
  <c r="J13" i="1"/>
  <c r="Q13" i="1" s="1"/>
  <c r="J109" i="1"/>
  <c r="Q109" i="1" s="1"/>
  <c r="K109" i="1"/>
  <c r="R109" i="1" s="1"/>
  <c r="K157" i="1"/>
  <c r="R157" i="1" s="1"/>
  <c r="J157" i="1"/>
  <c r="Q157" i="1" s="1"/>
  <c r="J205" i="1"/>
  <c r="Q205" i="1" s="1"/>
  <c r="K205" i="1"/>
  <c r="R205" i="1" s="1"/>
  <c r="K229" i="1"/>
  <c r="R229" i="1" s="1"/>
  <c r="J229" i="1"/>
  <c r="Q229" i="1" s="1"/>
  <c r="J253" i="1"/>
  <c r="Q253" i="1" s="1"/>
  <c r="K253" i="1"/>
  <c r="R253" i="1" s="1"/>
  <c r="J277" i="1"/>
  <c r="Q277" i="1" s="1"/>
  <c r="K277" i="1"/>
  <c r="R277" i="1" s="1"/>
  <c r="J349" i="1"/>
  <c r="Q349" i="1" s="1"/>
  <c r="K349" i="1"/>
  <c r="R349" i="1" s="1"/>
  <c r="J373" i="1"/>
  <c r="Q373" i="1" s="1"/>
  <c r="K373" i="1"/>
  <c r="R373" i="1" s="1"/>
  <c r="K16" i="1"/>
  <c r="R16" i="1" s="1"/>
  <c r="J16" i="1"/>
  <c r="Q16" i="1" s="1"/>
  <c r="J137" i="1"/>
  <c r="Q137" i="1" s="1"/>
  <c r="K137" i="1"/>
  <c r="R137" i="1" s="1"/>
  <c r="J42" i="1"/>
  <c r="Q42" i="1" s="1"/>
  <c r="K42" i="1"/>
  <c r="R42" i="1" s="1"/>
  <c r="J139" i="1"/>
  <c r="Q139" i="1" s="1"/>
  <c r="K139" i="1"/>
  <c r="R139" i="1" s="1"/>
  <c r="K193" i="1"/>
  <c r="R193" i="1" s="1"/>
  <c r="J193" i="1"/>
  <c r="Q193" i="1" s="1"/>
  <c r="K26" i="1"/>
  <c r="R26" i="1" s="1"/>
  <c r="J26" i="1"/>
  <c r="Q26" i="1" s="1"/>
  <c r="J37" i="1"/>
  <c r="Q37" i="1" s="1"/>
  <c r="K37" i="1"/>
  <c r="R37" i="1" s="1"/>
  <c r="K85" i="1"/>
  <c r="R85" i="1" s="1"/>
  <c r="J85" i="1"/>
  <c r="Q85" i="1" s="1"/>
  <c r="J133" i="1"/>
  <c r="Q133" i="1" s="1"/>
  <c r="K133" i="1"/>
  <c r="R133" i="1" s="1"/>
  <c r="J181" i="1"/>
  <c r="Q181" i="1" s="1"/>
  <c r="K181" i="1"/>
  <c r="R181" i="1" s="1"/>
  <c r="J325" i="1"/>
  <c r="Q325" i="1" s="1"/>
  <c r="K325" i="1"/>
  <c r="R325" i="1" s="1"/>
  <c r="K14" i="1"/>
  <c r="R14" i="1" s="1"/>
  <c r="J14" i="1"/>
  <c r="Q14" i="1" s="1"/>
  <c r="J38" i="1"/>
  <c r="Q38" i="1" s="1"/>
  <c r="K38" i="1"/>
  <c r="R38" i="1" s="1"/>
  <c r="J62" i="1"/>
  <c r="Q62" i="1" s="1"/>
  <c r="K62" i="1"/>
  <c r="R62" i="1" s="1"/>
  <c r="K86" i="1"/>
  <c r="R86" i="1" s="1"/>
  <c r="J86" i="1"/>
  <c r="Q86" i="1" s="1"/>
  <c r="J110" i="1"/>
  <c r="Q110" i="1" s="1"/>
  <c r="K110" i="1"/>
  <c r="R110" i="1" s="1"/>
  <c r="J134" i="1"/>
  <c r="Q134" i="1" s="1"/>
  <c r="K134" i="1"/>
  <c r="R134" i="1" s="1"/>
  <c r="K158" i="1"/>
  <c r="R158" i="1" s="1"/>
  <c r="J158" i="1"/>
  <c r="Q158" i="1" s="1"/>
  <c r="J182" i="1"/>
  <c r="Q182" i="1" s="1"/>
  <c r="K182" i="1"/>
  <c r="R182" i="1" s="1"/>
  <c r="K206" i="1"/>
  <c r="R206" i="1" s="1"/>
  <c r="J206" i="1"/>
  <c r="Q206" i="1" s="1"/>
  <c r="K230" i="1"/>
  <c r="R230" i="1" s="1"/>
  <c r="J230" i="1"/>
  <c r="Q230" i="1" s="1"/>
  <c r="J254" i="1"/>
  <c r="Q254" i="1" s="1"/>
  <c r="K254" i="1"/>
  <c r="R254" i="1" s="1"/>
  <c r="J278" i="1"/>
  <c r="Q278" i="1" s="1"/>
  <c r="K278" i="1"/>
  <c r="R278" i="1" s="1"/>
  <c r="K302" i="1"/>
  <c r="R302" i="1" s="1"/>
  <c r="J302" i="1"/>
  <c r="Q302" i="1" s="1"/>
  <c r="K326" i="1"/>
  <c r="R326" i="1" s="1"/>
  <c r="J326" i="1"/>
  <c r="Q326" i="1" s="1"/>
  <c r="J350" i="1"/>
  <c r="Q350" i="1" s="1"/>
  <c r="K350" i="1"/>
  <c r="R350" i="1" s="1"/>
  <c r="K374" i="1"/>
  <c r="R374" i="1" s="1"/>
  <c r="J374" i="1"/>
  <c r="Q374" i="1" s="1"/>
  <c r="K280" i="1"/>
  <c r="R280" i="1" s="1"/>
  <c r="J280" i="1"/>
  <c r="Q280" i="1" s="1"/>
  <c r="K258" i="1"/>
  <c r="R258" i="1" s="1"/>
  <c r="J258" i="1"/>
  <c r="Q258" i="1" s="1"/>
  <c r="K200" i="1"/>
  <c r="R200" i="1" s="1"/>
  <c r="J200" i="1"/>
  <c r="Q200" i="1" s="1"/>
  <c r="J61" i="1"/>
  <c r="Q61" i="1" s="1"/>
  <c r="K61" i="1"/>
  <c r="R61" i="1" s="1"/>
  <c r="K301" i="1"/>
  <c r="R301" i="1" s="1"/>
  <c r="J301" i="1"/>
  <c r="Q301" i="1" s="1"/>
  <c r="K15" i="1"/>
  <c r="R15" i="1" s="1"/>
  <c r="J15" i="1"/>
  <c r="Q15" i="1" s="1"/>
  <c r="J39" i="1"/>
  <c r="Q39" i="1" s="1"/>
  <c r="K39" i="1"/>
  <c r="R39" i="1" s="1"/>
  <c r="J63" i="1"/>
  <c r="Q63" i="1" s="1"/>
  <c r="K63" i="1"/>
  <c r="R63" i="1" s="1"/>
  <c r="K87" i="1"/>
  <c r="R87" i="1" s="1"/>
  <c r="J87" i="1"/>
  <c r="Q87" i="1" s="1"/>
  <c r="J111" i="1"/>
  <c r="Q111" i="1" s="1"/>
  <c r="K111" i="1"/>
  <c r="R111" i="1" s="1"/>
  <c r="K135" i="1"/>
  <c r="R135" i="1" s="1"/>
  <c r="J135" i="1"/>
  <c r="Q135" i="1" s="1"/>
  <c r="K159" i="1"/>
  <c r="R159" i="1" s="1"/>
  <c r="J159" i="1"/>
  <c r="Q159" i="1" s="1"/>
  <c r="J183" i="1"/>
  <c r="Q183" i="1" s="1"/>
  <c r="K183" i="1"/>
  <c r="R183" i="1" s="1"/>
  <c r="K207" i="1"/>
  <c r="R207" i="1" s="1"/>
  <c r="J207" i="1"/>
  <c r="Q207" i="1" s="1"/>
  <c r="K231" i="1"/>
  <c r="R231" i="1" s="1"/>
  <c r="J231" i="1"/>
  <c r="Q231" i="1" s="1"/>
  <c r="J255" i="1"/>
  <c r="Q255" i="1" s="1"/>
  <c r="K255" i="1"/>
  <c r="R255" i="1" s="1"/>
  <c r="J279" i="1"/>
  <c r="Q279" i="1" s="1"/>
  <c r="K279" i="1"/>
  <c r="R279" i="1" s="1"/>
  <c r="K303" i="1"/>
  <c r="R303" i="1" s="1"/>
  <c r="J303" i="1"/>
  <c r="Q303" i="1" s="1"/>
  <c r="K327" i="1"/>
  <c r="R327" i="1" s="1"/>
  <c r="J327" i="1"/>
  <c r="Q327" i="1" s="1"/>
  <c r="J351" i="1"/>
  <c r="Q351" i="1" s="1"/>
  <c r="K351" i="1"/>
  <c r="R351" i="1" s="1"/>
  <c r="J375" i="1"/>
  <c r="Q375" i="1" s="1"/>
  <c r="K375" i="1"/>
  <c r="R375" i="1" s="1"/>
  <c r="U11" i="1" l="1"/>
  <c r="D6" i="1"/>
  <c r="V11" i="1"/>
  <c r="E7" i="1" s="1"/>
  <c r="D7" i="1"/>
  <c r="E6" i="1"/>
  <c r="E5" i="1"/>
  <c r="D5" i="1"/>
  <c r="D4" i="1"/>
  <c r="S11" i="1"/>
  <c r="E4" i="1" s="1"/>
  <c r="Q11" i="1"/>
  <c r="E2" i="1" s="1"/>
  <c r="D2" i="1"/>
  <c r="R11" i="1"/>
  <c r="E3" i="1" s="1"/>
  <c r="D3" i="1"/>
</calcChain>
</file>

<file path=xl/sharedStrings.xml><?xml version="1.0" encoding="utf-8"?>
<sst xmlns="http://schemas.openxmlformats.org/spreadsheetml/2006/main" count="62" uniqueCount="51">
  <si>
    <t>Time (day)</t>
  </si>
  <si>
    <t>観測値（Arase2023）×10万</t>
    <rPh sb="0" eb="3">
      <t>カンソクチ</t>
    </rPh>
    <rPh sb="17" eb="18">
      <t>マン</t>
    </rPh>
    <phoneticPr fontId="2"/>
  </si>
  <si>
    <t>相関</t>
    <rPh sb="0" eb="2">
      <t>ソウカン</t>
    </rPh>
    <phoneticPr fontId="2"/>
  </si>
  <si>
    <t>平均誤差MAE</t>
    <rPh sb="0" eb="2">
      <t>ヘイキン</t>
    </rPh>
    <rPh sb="2" eb="4">
      <t>ゴサ</t>
    </rPh>
    <phoneticPr fontId="2"/>
  </si>
  <si>
    <t>RMSE</t>
    <phoneticPr fontId="2"/>
  </si>
  <si>
    <t>PCTL0.01</t>
    <phoneticPr fontId="2"/>
  </si>
  <si>
    <t>MIN</t>
    <phoneticPr fontId="2"/>
  </si>
  <si>
    <t>計算値：調整後</t>
    <rPh sb="0" eb="3">
      <t>ケイサンチ</t>
    </rPh>
    <rPh sb="4" eb="7">
      <t>チョウセイゴ</t>
    </rPh>
    <phoneticPr fontId="2"/>
  </si>
  <si>
    <t>計算値：調整前</t>
    <rPh sb="0" eb="3">
      <t>ケイサンチ</t>
    </rPh>
    <rPh sb="4" eb="6">
      <t>チョウセイ</t>
    </rPh>
    <rPh sb="6" eb="7">
      <t>マエ</t>
    </rPh>
    <phoneticPr fontId="2"/>
  </si>
  <si>
    <t>観測値-計算値: 調整後</t>
    <rPh sb="0" eb="3">
      <t>カンソクチ</t>
    </rPh>
    <rPh sb="4" eb="7">
      <t>ケイサンチ</t>
    </rPh>
    <rPh sb="9" eb="12">
      <t>チョウセイゴ</t>
    </rPh>
    <phoneticPr fontId="2"/>
  </si>
  <si>
    <t>観測値-計算値: 調整前</t>
    <rPh sb="0" eb="3">
      <t>カンソクチ</t>
    </rPh>
    <rPh sb="4" eb="7">
      <t>ケイサンチ</t>
    </rPh>
    <rPh sb="9" eb="11">
      <t>チョウセイ</t>
    </rPh>
    <rPh sb="11" eb="12">
      <t>マエ</t>
    </rPh>
    <phoneticPr fontId="2"/>
  </si>
  <si>
    <t>観測値-計算値: 調整後_min2.5M</t>
    <rPh sb="0" eb="3">
      <t>カンソクチ</t>
    </rPh>
    <rPh sb="4" eb="7">
      <t>ケイサンチ</t>
    </rPh>
    <rPh sb="9" eb="12">
      <t>チョウセイゴ</t>
    </rPh>
    <phoneticPr fontId="2"/>
  </si>
  <si>
    <r>
      <t>(観測値-計算値)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: 調整後</t>
    </r>
    <rPh sb="1" eb="4">
      <t>カンソクチ</t>
    </rPh>
    <rPh sb="5" eb="8">
      <t>ケイサンチ</t>
    </rPh>
    <rPh sb="12" eb="15">
      <t>チョウセイゴ</t>
    </rPh>
    <phoneticPr fontId="2"/>
  </si>
  <si>
    <r>
      <t>(観測値-計算値)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: 調整前</t>
    </r>
    <rPh sb="1" eb="4">
      <t>カンソクチ</t>
    </rPh>
    <rPh sb="5" eb="8">
      <t>ケイサンチ</t>
    </rPh>
    <rPh sb="12" eb="14">
      <t>チョウセイ</t>
    </rPh>
    <rPh sb="14" eb="15">
      <t>マエ</t>
    </rPh>
    <phoneticPr fontId="2"/>
  </si>
  <si>
    <t>調整後</t>
    <rPh sb="0" eb="3">
      <t>チョウセイゴ</t>
    </rPh>
    <phoneticPr fontId="2"/>
  </si>
  <si>
    <t>調整前</t>
    <rPh sb="0" eb="2">
      <t>チョウセイ</t>
    </rPh>
    <rPh sb="2" eb="3">
      <t>マエ</t>
    </rPh>
    <phoneticPr fontId="2"/>
  </si>
  <si>
    <t>計算値: 調整後_min2.5M</t>
    <rPh sb="0" eb="3">
      <t>ケイサンチ</t>
    </rPh>
    <rPh sb="5" eb="8">
      <t>チョウセイゴ</t>
    </rPh>
    <phoneticPr fontId="2"/>
  </si>
  <si>
    <r>
      <t>(観測値-計算値)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: 調整後_min2.5M</t>
    </r>
    <rPh sb="1" eb="4">
      <t>カンソクチ</t>
    </rPh>
    <rPh sb="5" eb="8">
      <t>ケイサンチ</t>
    </rPh>
    <rPh sb="12" eb="15">
      <t>チョウセイゴ</t>
    </rPh>
    <phoneticPr fontId="2"/>
  </si>
  <si>
    <t>Log</t>
    <phoneticPr fontId="2"/>
  </si>
  <si>
    <t>logでなく調整した結果とあまり変わらない。</t>
    <rPh sb="6" eb="8">
      <t>チョウセイ</t>
    </rPh>
    <rPh sb="10" eb="12">
      <t>ケッカ</t>
    </rPh>
    <rPh sb="16" eb="17">
      <t>カ</t>
    </rPh>
    <phoneticPr fontId="2"/>
  </si>
  <si>
    <t>River discharge downstream : chikugo_run_test_flow_log_er_sq2</t>
  </si>
  <si>
    <t>計算値：調整後_log_err_sq2</t>
    <rPh sb="0" eb="3">
      <t>ケイサンチ</t>
    </rPh>
    <rPh sb="4" eb="7">
      <t>チョウセイゴ</t>
    </rPh>
    <phoneticPr fontId="2"/>
  </si>
  <si>
    <t>計算値：調整後_log_err_sq</t>
    <rPh sb="0" eb="3">
      <t>ケイサンチ</t>
    </rPh>
    <rPh sb="4" eb="7">
      <t>チョウセイゴ</t>
    </rPh>
    <phoneticPr fontId="2"/>
  </si>
  <si>
    <t>観測値-計算値: 調整後_log_err_sq</t>
    <rPh sb="0" eb="3">
      <t>カンソクチ</t>
    </rPh>
    <rPh sb="4" eb="7">
      <t>ケイサンチ</t>
    </rPh>
    <rPh sb="9" eb="12">
      <t>チョウセイゴ</t>
    </rPh>
    <phoneticPr fontId="2"/>
  </si>
  <si>
    <r>
      <t>(観測値-計算値)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: 調整後_log_err_sq</t>
    </r>
    <rPh sb="1" eb="4">
      <t>カンソクチ</t>
    </rPh>
    <rPh sb="5" eb="8">
      <t>ケイサンチ</t>
    </rPh>
    <rPh sb="12" eb="15">
      <t>チョウセイゴ</t>
    </rPh>
    <phoneticPr fontId="2"/>
  </si>
  <si>
    <t>調整後_min2.5M</t>
    <rPh sb="0" eb="3">
      <t>チョウセイゴ</t>
    </rPh>
    <phoneticPr fontId="2"/>
  </si>
  <si>
    <t>調整後_log_error_sq</t>
    <rPh sb="0" eb="3">
      <t>チョウセイゴ</t>
    </rPh>
    <phoneticPr fontId="2"/>
  </si>
  <si>
    <t>調整後_log_error_sq_2</t>
    <rPh sb="0" eb="3">
      <t>チョウセイゴ</t>
    </rPh>
    <phoneticPr fontId="2"/>
  </si>
  <si>
    <t>観測値-計算値: 調整後_log_err_sq2</t>
    <rPh sb="0" eb="3">
      <t>カンソクチ</t>
    </rPh>
    <rPh sb="4" eb="7">
      <t>ケイサンチ</t>
    </rPh>
    <rPh sb="9" eb="12">
      <t>チョウセイゴ</t>
    </rPh>
    <phoneticPr fontId="2"/>
  </si>
  <si>
    <r>
      <t>(観測値-計算値)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: 調整後_log_err_sq2</t>
    </r>
    <rPh sb="1" eb="4">
      <t>カンソクチ</t>
    </rPh>
    <rPh sb="5" eb="8">
      <t>ケイサンチ</t>
    </rPh>
    <rPh sb="12" eb="15">
      <t>チョウセイゴ</t>
    </rPh>
    <phoneticPr fontId="2"/>
  </si>
  <si>
    <t>調整パラメータを増やすと精度が改善した。</t>
    <rPh sb="0" eb="2">
      <t>チョウセイ</t>
    </rPh>
    <rPh sb="8" eb="9">
      <t>フ</t>
    </rPh>
    <rPh sb="12" eb="14">
      <t>セイド</t>
    </rPh>
    <rPh sb="15" eb="17">
      <t>カイゼン</t>
    </rPh>
    <phoneticPr fontId="2"/>
  </si>
  <si>
    <t>River discharge downstream : chikugo_run_test_flow_log_er_sq3</t>
  </si>
  <si>
    <t>計算</t>
    <rPh sb="0" eb="2">
      <t>ケイサン</t>
    </rPh>
    <phoneticPr fontId="2"/>
  </si>
  <si>
    <t>100万</t>
    <rPh sb="3" eb="4">
      <t>マン</t>
    </rPh>
    <phoneticPr fontId="2"/>
  </si>
  <si>
    <t>計算値：調整後_log_err_sq3</t>
    <rPh sb="0" eb="3">
      <t>ケイサンチ</t>
    </rPh>
    <rPh sb="4" eb="7">
      <t>チョウセイゴ</t>
    </rPh>
    <phoneticPr fontId="2"/>
  </si>
  <si>
    <t>観測値-計算値: 調整後_log_err_sq3</t>
    <rPh sb="0" eb="3">
      <t>カンソクチ</t>
    </rPh>
    <rPh sb="4" eb="7">
      <t>ケイサンチ</t>
    </rPh>
    <rPh sb="9" eb="12">
      <t>チョウセイゴ</t>
    </rPh>
    <phoneticPr fontId="2"/>
  </si>
  <si>
    <r>
      <t>(観測値-計算値)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: 調整後_log_err_sq3</t>
    </r>
    <rPh sb="1" eb="4">
      <t>カンソクチ</t>
    </rPh>
    <rPh sb="5" eb="8">
      <t>ケイサンチ</t>
    </rPh>
    <rPh sb="12" eb="15">
      <t>チョウセイゴ</t>
    </rPh>
    <phoneticPr fontId="2"/>
  </si>
  <si>
    <t>調整後_log_error_sq_3</t>
    <rPh sb="0" eb="3">
      <t>チョウセイゴ</t>
    </rPh>
    <phoneticPr fontId="2"/>
  </si>
  <si>
    <t>試行回数を増やしたが改善しなかった。</t>
    <rPh sb="0" eb="4">
      <t>シコウカイスウ</t>
    </rPh>
    <rPh sb="5" eb="6">
      <t>フ</t>
    </rPh>
    <rPh sb="10" eb="12">
      <t>カイゼン</t>
    </rPh>
    <phoneticPr fontId="2"/>
  </si>
  <si>
    <t>3ヶ月分→</t>
    <rPh sb="2" eb="4">
      <t>ゲツブン</t>
    </rPh>
    <phoneticPr fontId="2"/>
  </si>
  <si>
    <t>PCTL0.99</t>
    <phoneticPr fontId="2"/>
  </si>
  <si>
    <t>PCTL0.90</t>
    <phoneticPr fontId="2"/>
  </si>
  <si>
    <t>PCTL0.95</t>
    <phoneticPr fontId="2"/>
  </si>
  <si>
    <t>PCTL0.97</t>
    <phoneticPr fontId="2"/>
  </si>
  <si>
    <t>計算値：調整後_log_err_sq4_BF</t>
    <rPh sb="0" eb="3">
      <t>ケイサンチ</t>
    </rPh>
    <rPh sb="4" eb="7">
      <t>チョウセイゴ</t>
    </rPh>
    <phoneticPr fontId="2"/>
  </si>
  <si>
    <t>調整後_log_err_sq4_BF</t>
    <rPh sb="0" eb="3">
      <t>チョウセイゴ</t>
    </rPh>
    <phoneticPr fontId="2"/>
  </si>
  <si>
    <t>観測値-計算値: 調整後_log_err_sq4</t>
    <rPh sb="0" eb="3">
      <t>カンソクチ</t>
    </rPh>
    <rPh sb="4" eb="7">
      <t>ケイサンチ</t>
    </rPh>
    <rPh sb="9" eb="12">
      <t>チョウセイゴ</t>
    </rPh>
    <phoneticPr fontId="2"/>
  </si>
  <si>
    <r>
      <t>(観測値-計算値)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: 調整後_log_err_sq4</t>
    </r>
    <rPh sb="1" eb="4">
      <t>カンソクチ</t>
    </rPh>
    <rPh sb="5" eb="8">
      <t>ケイサンチ</t>
    </rPh>
    <rPh sb="12" eb="15">
      <t>チョウセイゴ</t>
    </rPh>
    <phoneticPr fontId="2"/>
  </si>
  <si>
    <t>NSE</t>
    <phoneticPr fontId="2"/>
  </si>
  <si>
    <t>NSE_分子</t>
    <rPh sb="4" eb="6">
      <t>ブンシ</t>
    </rPh>
    <phoneticPr fontId="2"/>
  </si>
  <si>
    <t>NSE_分母</t>
    <rPh sb="4" eb="6">
      <t>ブンボ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</si>
</sst>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  <xf numFmtId="0" fontId="0" fillId="0" borderId="0" xfId="0" applyBorder="1">
      <alignment vertical="center"/>
    </xf>
    <xf numFmtId="38" fontId="0" fillId="0" borderId="1" xfId="1" applyFont="1" applyBorder="1">
      <alignment vertical="center"/>
    </xf>
    <xf numFmtId="38" fontId="0" fillId="0" borderId="0" xfId="1" applyFont="1" applyBorder="1">
      <alignment vertical="center"/>
    </xf>
    <xf numFmtId="38" fontId="0" fillId="0" borderId="1" xfId="0" applyNumberFormat="1" applyBorder="1">
      <alignment vertical="center"/>
    </xf>
    <xf numFmtId="181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38" fontId="0" fillId="0" borderId="0" xfId="1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 applyBorder="1">
      <alignment vertical="center"/>
    </xf>
    <xf numFmtId="181" fontId="0" fillId="0" borderId="1" xfId="0" applyNumberForma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Sheet1!$H$10</c:f>
              <c:strCache>
                <c:ptCount val="1"/>
                <c:pt idx="0">
                  <c:v>計算値：調整後_log_err_sq4_BF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Sheet1!$H$11:$H$375</c:f>
              <c:numCache>
                <c:formatCode>#,##0_);[Red]\(#,##0\)</c:formatCode>
                <c:ptCount val="365"/>
                <c:pt idx="0">
                  <c:v>24388973.318342239</c:v>
                </c:pt>
                <c:pt idx="1">
                  <c:v>7677980.6692766044</c:v>
                </c:pt>
                <c:pt idx="2">
                  <c:v>3917265.6033833032</c:v>
                </c:pt>
                <c:pt idx="3">
                  <c:v>3407419.901905444</c:v>
                </c:pt>
                <c:pt idx="4">
                  <c:v>3120936.8961777822</c:v>
                </c:pt>
                <c:pt idx="5">
                  <c:v>2920135.534546352</c:v>
                </c:pt>
                <c:pt idx="6">
                  <c:v>2782528.7559419419</c:v>
                </c:pt>
                <c:pt idx="7">
                  <c:v>2925264.0893584741</c:v>
                </c:pt>
                <c:pt idx="8">
                  <c:v>2625979.2615709198</c:v>
                </c:pt>
                <c:pt idx="9">
                  <c:v>2592035.867711327</c:v>
                </c:pt>
                <c:pt idx="10">
                  <c:v>2556496.5887568551</c:v>
                </c:pt>
                <c:pt idx="11">
                  <c:v>2532884.154136599</c:v>
                </c:pt>
                <c:pt idx="12">
                  <c:v>2550511.40529249</c:v>
                </c:pt>
                <c:pt idx="13">
                  <c:v>5698900.300285399</c:v>
                </c:pt>
                <c:pt idx="14">
                  <c:v>6396855.5490849521</c:v>
                </c:pt>
                <c:pt idx="15">
                  <c:v>4707375.9030536897</c:v>
                </c:pt>
                <c:pt idx="16">
                  <c:v>4436257.9804628231</c:v>
                </c:pt>
                <c:pt idx="17">
                  <c:v>3828446.392925214</c:v>
                </c:pt>
                <c:pt idx="18">
                  <c:v>3525197.889482785</c:v>
                </c:pt>
                <c:pt idx="19">
                  <c:v>3289094.158963989</c:v>
                </c:pt>
                <c:pt idx="20">
                  <c:v>3073541.1028989851</c:v>
                </c:pt>
                <c:pt idx="21">
                  <c:v>2887734.9736674372</c:v>
                </c:pt>
                <c:pt idx="22">
                  <c:v>3493361.536678012</c:v>
                </c:pt>
                <c:pt idx="23">
                  <c:v>3029370.567366438</c:v>
                </c:pt>
                <c:pt idx="24">
                  <c:v>2983961.909847707</c:v>
                </c:pt>
                <c:pt idx="25">
                  <c:v>2818329.2949821111</c:v>
                </c:pt>
                <c:pt idx="26">
                  <c:v>2728417.584706916</c:v>
                </c:pt>
                <c:pt idx="27">
                  <c:v>2650493.1999282292</c:v>
                </c:pt>
                <c:pt idx="28">
                  <c:v>2597399.7393530719</c:v>
                </c:pt>
                <c:pt idx="29">
                  <c:v>2560919.0622440502</c:v>
                </c:pt>
                <c:pt idx="30">
                  <c:v>2603654.0645950232</c:v>
                </c:pt>
                <c:pt idx="31">
                  <c:v>2514304.4191700839</c:v>
                </c:pt>
                <c:pt idx="32">
                  <c:v>2507150.5186022292</c:v>
                </c:pt>
                <c:pt idx="33">
                  <c:v>2500000</c:v>
                </c:pt>
                <c:pt idx="34">
                  <c:v>2500000</c:v>
                </c:pt>
                <c:pt idx="35">
                  <c:v>2500000</c:v>
                </c:pt>
                <c:pt idx="36">
                  <c:v>2500000</c:v>
                </c:pt>
                <c:pt idx="37">
                  <c:v>2756071.8460996072</c:v>
                </c:pt>
                <c:pt idx="38">
                  <c:v>2950428.490110789</c:v>
                </c:pt>
                <c:pt idx="39">
                  <c:v>2579716.457548087</c:v>
                </c:pt>
                <c:pt idx="40">
                  <c:v>2608897.817394672</c:v>
                </c:pt>
                <c:pt idx="41">
                  <c:v>3143527.0266154101</c:v>
                </c:pt>
                <c:pt idx="42">
                  <c:v>2641405.0058384882</c:v>
                </c:pt>
                <c:pt idx="43">
                  <c:v>3656706.3829663899</c:v>
                </c:pt>
                <c:pt idx="44">
                  <c:v>2966512.2054305859</c:v>
                </c:pt>
                <c:pt idx="45">
                  <c:v>2857815.1856835792</c:v>
                </c:pt>
                <c:pt idx="46">
                  <c:v>2815140.9471233268</c:v>
                </c:pt>
                <c:pt idx="47">
                  <c:v>2709951.9658955489</c:v>
                </c:pt>
                <c:pt idx="48">
                  <c:v>2638229.9789680578</c:v>
                </c:pt>
                <c:pt idx="49">
                  <c:v>2995639.6748748529</c:v>
                </c:pt>
                <c:pt idx="50">
                  <c:v>4612804.287091692</c:v>
                </c:pt>
                <c:pt idx="51">
                  <c:v>3029469.7162916362</c:v>
                </c:pt>
                <c:pt idx="52">
                  <c:v>3002313.857872949</c:v>
                </c:pt>
                <c:pt idx="53">
                  <c:v>2942953.3374389568</c:v>
                </c:pt>
                <c:pt idx="54">
                  <c:v>2827299.735421482</c:v>
                </c:pt>
                <c:pt idx="55">
                  <c:v>3023769.391253782</c:v>
                </c:pt>
                <c:pt idx="56">
                  <c:v>2728252.466397271</c:v>
                </c:pt>
                <c:pt idx="57">
                  <c:v>2648631.381161192</c:v>
                </c:pt>
                <c:pt idx="58">
                  <c:v>2596785.3561311322</c:v>
                </c:pt>
                <c:pt idx="59">
                  <c:v>2560454.4012354971</c:v>
                </c:pt>
                <c:pt idx="60">
                  <c:v>3838927.0365052558</c:v>
                </c:pt>
                <c:pt idx="61">
                  <c:v>2687814.166999843</c:v>
                </c:pt>
                <c:pt idx="62">
                  <c:v>2800124.3035416552</c:v>
                </c:pt>
                <c:pt idx="63">
                  <c:v>2741530.1568619609</c:v>
                </c:pt>
                <c:pt idx="64">
                  <c:v>2660086.2350464058</c:v>
                </c:pt>
                <c:pt idx="65">
                  <c:v>2603948.322246484</c:v>
                </c:pt>
                <c:pt idx="66">
                  <c:v>2565417.806902247</c:v>
                </c:pt>
                <c:pt idx="67">
                  <c:v>2538961.6483462201</c:v>
                </c:pt>
                <c:pt idx="68">
                  <c:v>2995264.6069856212</c:v>
                </c:pt>
                <c:pt idx="69">
                  <c:v>2562451.9865018451</c:v>
                </c:pt>
                <c:pt idx="70">
                  <c:v>2569545.3152913158</c:v>
                </c:pt>
                <c:pt idx="71">
                  <c:v>3116452.7601567828</c:v>
                </c:pt>
                <c:pt idx="72">
                  <c:v>2622819.198036748</c:v>
                </c:pt>
                <c:pt idx="73">
                  <c:v>2659287.6803054102</c:v>
                </c:pt>
                <c:pt idx="74">
                  <c:v>2601613.5529276072</c:v>
                </c:pt>
                <c:pt idx="75">
                  <c:v>2563929.9631524198</c:v>
                </c:pt>
                <c:pt idx="76">
                  <c:v>3215743.8494926631</c:v>
                </c:pt>
                <c:pt idx="77">
                  <c:v>2863368.8312980551</c:v>
                </c:pt>
                <c:pt idx="78">
                  <c:v>2720604.1233448512</c:v>
                </c:pt>
                <c:pt idx="79">
                  <c:v>2728859.8340713321</c:v>
                </c:pt>
                <c:pt idx="80">
                  <c:v>7197449.4296552027</c:v>
                </c:pt>
                <c:pt idx="81">
                  <c:v>4646726.8070332333</c:v>
                </c:pt>
                <c:pt idx="82">
                  <c:v>7965615.753300474</c:v>
                </c:pt>
                <c:pt idx="83">
                  <c:v>6182396.2906985441</c:v>
                </c:pt>
                <c:pt idx="84">
                  <c:v>5778106.4614706039</c:v>
                </c:pt>
                <c:pt idx="85">
                  <c:v>6962317.5606945241</c:v>
                </c:pt>
                <c:pt idx="86">
                  <c:v>5480363.5683469251</c:v>
                </c:pt>
                <c:pt idx="87">
                  <c:v>4944765.565832736</c:v>
                </c:pt>
                <c:pt idx="88">
                  <c:v>4649764.6210689805</c:v>
                </c:pt>
                <c:pt idx="89">
                  <c:v>4338844.4642704967</c:v>
                </c:pt>
                <c:pt idx="90">
                  <c:v>4041834.8067079359</c:v>
                </c:pt>
                <c:pt idx="91">
                  <c:v>3813639.0038686208</c:v>
                </c:pt>
                <c:pt idx="92">
                  <c:v>3633541.4818428811</c:v>
                </c:pt>
                <c:pt idx="93">
                  <c:v>3486890.2380207549</c:v>
                </c:pt>
                <c:pt idx="94">
                  <c:v>3364721.6908832658</c:v>
                </c:pt>
                <c:pt idx="95">
                  <c:v>4377536.4671910256</c:v>
                </c:pt>
                <c:pt idx="96">
                  <c:v>4543614.2411309909</c:v>
                </c:pt>
                <c:pt idx="97">
                  <c:v>7414253.4260797687</c:v>
                </c:pt>
                <c:pt idx="98">
                  <c:v>5441908.096044275</c:v>
                </c:pt>
                <c:pt idx="99">
                  <c:v>5061082.2042332254</c:v>
                </c:pt>
                <c:pt idx="100">
                  <c:v>4750151.5783118661</c:v>
                </c:pt>
                <c:pt idx="101">
                  <c:v>4517285.6729773954</c:v>
                </c:pt>
                <c:pt idx="102">
                  <c:v>6880921.7266717479</c:v>
                </c:pt>
                <c:pt idx="103">
                  <c:v>5034744.353245236</c:v>
                </c:pt>
                <c:pt idx="104">
                  <c:v>7963208.2089924049</c:v>
                </c:pt>
                <c:pt idx="105">
                  <c:v>9165194.2740777135</c:v>
                </c:pt>
                <c:pt idx="106">
                  <c:v>7400535.0759019386</c:v>
                </c:pt>
                <c:pt idx="107">
                  <c:v>6785495.2748022405</c:v>
                </c:pt>
                <c:pt idx="108">
                  <c:v>6090933.6619774997</c:v>
                </c:pt>
                <c:pt idx="109">
                  <c:v>5748436.9097519927</c:v>
                </c:pt>
                <c:pt idx="110">
                  <c:v>5549379.6098644966</c:v>
                </c:pt>
                <c:pt idx="111">
                  <c:v>5123674.72857555</c:v>
                </c:pt>
                <c:pt idx="112">
                  <c:v>4852514.4722327162</c:v>
                </c:pt>
                <c:pt idx="113">
                  <c:v>4630011.8167739352</c:v>
                </c:pt>
                <c:pt idx="114">
                  <c:v>4448265.9143750239</c:v>
                </c:pt>
                <c:pt idx="115">
                  <c:v>8915436.6020470522</c:v>
                </c:pt>
                <c:pt idx="116">
                  <c:v>6965495.3697552644</c:v>
                </c:pt>
                <c:pt idx="117">
                  <c:v>6329913.3188468143</c:v>
                </c:pt>
                <c:pt idx="118">
                  <c:v>5787366.564585574</c:v>
                </c:pt>
                <c:pt idx="119">
                  <c:v>17231684.054479059</c:v>
                </c:pt>
                <c:pt idx="120">
                  <c:v>10695213.735312071</c:v>
                </c:pt>
                <c:pt idx="121">
                  <c:v>10167333.411296509</c:v>
                </c:pt>
                <c:pt idx="122">
                  <c:v>9221157.4586889073</c:v>
                </c:pt>
                <c:pt idx="123">
                  <c:v>8286143.4853625782</c:v>
                </c:pt>
                <c:pt idx="124">
                  <c:v>8295738.2803682601</c:v>
                </c:pt>
                <c:pt idx="125">
                  <c:v>7193950.0237887334</c:v>
                </c:pt>
                <c:pt idx="126">
                  <c:v>59737659.639254667</c:v>
                </c:pt>
                <c:pt idx="127">
                  <c:v>79785536.820232391</c:v>
                </c:pt>
                <c:pt idx="128">
                  <c:v>18741835.88503943</c:v>
                </c:pt>
                <c:pt idx="129">
                  <c:v>13325995.21141823</c:v>
                </c:pt>
                <c:pt idx="130">
                  <c:v>11922338.43350826</c:v>
                </c:pt>
                <c:pt idx="131">
                  <c:v>10542470.051286221</c:v>
                </c:pt>
                <c:pt idx="132">
                  <c:v>9258416.9413610101</c:v>
                </c:pt>
                <c:pt idx="133">
                  <c:v>10938343.702801101</c:v>
                </c:pt>
                <c:pt idx="134">
                  <c:v>8695610.5399386324</c:v>
                </c:pt>
                <c:pt idx="135">
                  <c:v>7836123.9990162691</c:v>
                </c:pt>
                <c:pt idx="136">
                  <c:v>7176769.637697327</c:v>
                </c:pt>
                <c:pt idx="137">
                  <c:v>6704775.9816210447</c:v>
                </c:pt>
                <c:pt idx="138">
                  <c:v>6456555.7769664712</c:v>
                </c:pt>
                <c:pt idx="139">
                  <c:v>8523680.2301165685</c:v>
                </c:pt>
                <c:pt idx="140">
                  <c:v>6650487.7091151616</c:v>
                </c:pt>
                <c:pt idx="141">
                  <c:v>6412911.6638476187</c:v>
                </c:pt>
                <c:pt idx="142">
                  <c:v>6154710.5878520794</c:v>
                </c:pt>
                <c:pt idx="143">
                  <c:v>5862744.3876486439</c:v>
                </c:pt>
                <c:pt idx="144">
                  <c:v>5598092.6660064384</c:v>
                </c:pt>
                <c:pt idx="145">
                  <c:v>5379745.8401650935</c:v>
                </c:pt>
                <c:pt idx="146">
                  <c:v>5193040.5893345755</c:v>
                </c:pt>
                <c:pt idx="147">
                  <c:v>5028717.7795170648</c:v>
                </c:pt>
                <c:pt idx="148">
                  <c:v>4881894.1476103868</c:v>
                </c:pt>
                <c:pt idx="149">
                  <c:v>4796226.344120658</c:v>
                </c:pt>
                <c:pt idx="150">
                  <c:v>10744992.28148091</c:v>
                </c:pt>
                <c:pt idx="151">
                  <c:v>15681170.373840511</c:v>
                </c:pt>
                <c:pt idx="152">
                  <c:v>13444440.6911298</c:v>
                </c:pt>
                <c:pt idx="153">
                  <c:v>10672049.346403999</c:v>
                </c:pt>
                <c:pt idx="154">
                  <c:v>9614937.2157762963</c:v>
                </c:pt>
                <c:pt idx="155">
                  <c:v>8685734.5606927071</c:v>
                </c:pt>
                <c:pt idx="156">
                  <c:v>7788445.9220007788</c:v>
                </c:pt>
                <c:pt idx="157">
                  <c:v>11634151.33979601</c:v>
                </c:pt>
                <c:pt idx="158">
                  <c:v>8482330.8617463745</c:v>
                </c:pt>
                <c:pt idx="159">
                  <c:v>29473760.779267311</c:v>
                </c:pt>
                <c:pt idx="160">
                  <c:v>9082871.6833817195</c:v>
                </c:pt>
                <c:pt idx="161">
                  <c:v>8580406.9223069362</c:v>
                </c:pt>
                <c:pt idx="162">
                  <c:v>7705354.9221250089</c:v>
                </c:pt>
                <c:pt idx="163">
                  <c:v>7199843.6314515192</c:v>
                </c:pt>
                <c:pt idx="164">
                  <c:v>6791349.2303810287</c:v>
                </c:pt>
                <c:pt idx="165">
                  <c:v>6392263.3420928484</c:v>
                </c:pt>
                <c:pt idx="166">
                  <c:v>6349538.78318136</c:v>
                </c:pt>
                <c:pt idx="167">
                  <c:v>5904601.3889621729</c:v>
                </c:pt>
                <c:pt idx="168">
                  <c:v>5677054.4192982446</c:v>
                </c:pt>
                <c:pt idx="169">
                  <c:v>5472990.7293854263</c:v>
                </c:pt>
                <c:pt idx="170">
                  <c:v>5294141.2502269512</c:v>
                </c:pt>
                <c:pt idx="171">
                  <c:v>5134963.5784568824</c:v>
                </c:pt>
                <c:pt idx="172">
                  <c:v>8779399.8799673691</c:v>
                </c:pt>
                <c:pt idx="173">
                  <c:v>6539242.3701401167</c:v>
                </c:pt>
                <c:pt idx="174">
                  <c:v>6187474.9361636247</c:v>
                </c:pt>
                <c:pt idx="175">
                  <c:v>5970509.3765955791</c:v>
                </c:pt>
                <c:pt idx="176">
                  <c:v>10894549.19319992</c:v>
                </c:pt>
                <c:pt idx="177">
                  <c:v>8545493.1268939078</c:v>
                </c:pt>
                <c:pt idx="178">
                  <c:v>14088956.803988131</c:v>
                </c:pt>
                <c:pt idx="179">
                  <c:v>11719849.861883029</c:v>
                </c:pt>
                <c:pt idx="180">
                  <c:v>35394894.628396198</c:v>
                </c:pt>
                <c:pt idx="181">
                  <c:v>181768753.2794098</c:v>
                </c:pt>
                <c:pt idx="182">
                  <c:v>47498309.414482452</c:v>
                </c:pt>
                <c:pt idx="183">
                  <c:v>46989847.162294477</c:v>
                </c:pt>
                <c:pt idx="184">
                  <c:v>269003947.53101468</c:v>
                </c:pt>
                <c:pt idx="185">
                  <c:v>30157601.162773449</c:v>
                </c:pt>
                <c:pt idx="186">
                  <c:v>30156988.273132611</c:v>
                </c:pt>
                <c:pt idx="187">
                  <c:v>25775892.695461109</c:v>
                </c:pt>
                <c:pt idx="188">
                  <c:v>48531357.673746623</c:v>
                </c:pt>
                <c:pt idx="189">
                  <c:v>26762874.906506378</c:v>
                </c:pt>
                <c:pt idx="190">
                  <c:v>124309489.74815249</c:v>
                </c:pt>
                <c:pt idx="191">
                  <c:v>230387474.56759089</c:v>
                </c:pt>
                <c:pt idx="192">
                  <c:v>30531860.499260619</c:v>
                </c:pt>
                <c:pt idx="193">
                  <c:v>109211134.903568</c:v>
                </c:pt>
                <c:pt idx="194">
                  <c:v>32201695.75684477</c:v>
                </c:pt>
                <c:pt idx="195">
                  <c:v>26862127.955863111</c:v>
                </c:pt>
                <c:pt idx="196">
                  <c:v>23813069.07865582</c:v>
                </c:pt>
                <c:pt idx="197">
                  <c:v>20106626.31318032</c:v>
                </c:pt>
                <c:pt idx="198">
                  <c:v>17081019.75706232</c:v>
                </c:pt>
                <c:pt idx="199">
                  <c:v>14771990.95450378</c:v>
                </c:pt>
                <c:pt idx="200">
                  <c:v>15549883.693770669</c:v>
                </c:pt>
                <c:pt idx="201">
                  <c:v>12303390.367456039</c:v>
                </c:pt>
                <c:pt idx="202">
                  <c:v>10746790.005951401</c:v>
                </c:pt>
                <c:pt idx="203">
                  <c:v>9312109.8827180937</c:v>
                </c:pt>
                <c:pt idx="204">
                  <c:v>8124521.6326448331</c:v>
                </c:pt>
                <c:pt idx="205">
                  <c:v>7475535.5774145946</c:v>
                </c:pt>
                <c:pt idx="206">
                  <c:v>6839442.7761091273</c:v>
                </c:pt>
                <c:pt idx="207">
                  <c:v>6365000.826452475</c:v>
                </c:pt>
                <c:pt idx="208">
                  <c:v>5930086.7249626564</c:v>
                </c:pt>
                <c:pt idx="209">
                  <c:v>5618964.71302904</c:v>
                </c:pt>
                <c:pt idx="210">
                  <c:v>5366813.7737374306</c:v>
                </c:pt>
                <c:pt idx="211">
                  <c:v>5158156.8832267458</c:v>
                </c:pt>
                <c:pt idx="212">
                  <c:v>4980299.9930809736</c:v>
                </c:pt>
                <c:pt idx="213">
                  <c:v>4823341.70625831</c:v>
                </c:pt>
                <c:pt idx="214">
                  <c:v>4682645.1905417414</c:v>
                </c:pt>
                <c:pt idx="215">
                  <c:v>4650763.0149698975</c:v>
                </c:pt>
                <c:pt idx="216">
                  <c:v>4457505.6956810653</c:v>
                </c:pt>
                <c:pt idx="217">
                  <c:v>4347847.0360566983</c:v>
                </c:pt>
                <c:pt idx="218">
                  <c:v>4238674.0255220989</c:v>
                </c:pt>
                <c:pt idx="219">
                  <c:v>4135926.7671026061</c:v>
                </c:pt>
                <c:pt idx="220">
                  <c:v>8732045.105803147</c:v>
                </c:pt>
                <c:pt idx="221">
                  <c:v>9973413.8259117454</c:v>
                </c:pt>
                <c:pt idx="222">
                  <c:v>9974724.7141951732</c:v>
                </c:pt>
                <c:pt idx="223">
                  <c:v>8267404.8599126488</c:v>
                </c:pt>
                <c:pt idx="224">
                  <c:v>7683684.5605367767</c:v>
                </c:pt>
                <c:pt idx="225">
                  <c:v>6943466.0311443172</c:v>
                </c:pt>
                <c:pt idx="226">
                  <c:v>6331509.5410238681</c:v>
                </c:pt>
                <c:pt idx="227">
                  <c:v>5969322.2619128646</c:v>
                </c:pt>
                <c:pt idx="228">
                  <c:v>5601391.8089406528</c:v>
                </c:pt>
                <c:pt idx="229">
                  <c:v>7547159.6047785403</c:v>
                </c:pt>
                <c:pt idx="230">
                  <c:v>5893773.4871153282</c:v>
                </c:pt>
                <c:pt idx="231">
                  <c:v>5703606.0926171914</c:v>
                </c:pt>
                <c:pt idx="232">
                  <c:v>5475793.554375995</c:v>
                </c:pt>
                <c:pt idx="233">
                  <c:v>5307443.2498002462</c:v>
                </c:pt>
                <c:pt idx="234">
                  <c:v>5020196.4352186276</c:v>
                </c:pt>
                <c:pt idx="235">
                  <c:v>4827956.214886128</c:v>
                </c:pt>
                <c:pt idx="236">
                  <c:v>4659345.7221256336</c:v>
                </c:pt>
                <c:pt idx="237">
                  <c:v>4512730.4556990666</c:v>
                </c:pt>
                <c:pt idx="238">
                  <c:v>4381046.0387507305</c:v>
                </c:pt>
                <c:pt idx="239">
                  <c:v>4989127.265502031</c:v>
                </c:pt>
                <c:pt idx="240">
                  <c:v>4422929.1627186295</c:v>
                </c:pt>
                <c:pt idx="241">
                  <c:v>4333316.982095114</c:v>
                </c:pt>
                <c:pt idx="242">
                  <c:v>4395079.3051071446</c:v>
                </c:pt>
                <c:pt idx="243">
                  <c:v>4159156.9459265531</c:v>
                </c:pt>
                <c:pt idx="244">
                  <c:v>4682279.9068715628</c:v>
                </c:pt>
                <c:pt idx="245">
                  <c:v>4203572.8856676798</c:v>
                </c:pt>
                <c:pt idx="246">
                  <c:v>4120069.779476414</c:v>
                </c:pt>
                <c:pt idx="247">
                  <c:v>3986410.4327587751</c:v>
                </c:pt>
                <c:pt idx="248">
                  <c:v>4745296.0906413188</c:v>
                </c:pt>
                <c:pt idx="249">
                  <c:v>4171777.687662703</c:v>
                </c:pt>
                <c:pt idx="250">
                  <c:v>4090864.6674362551</c:v>
                </c:pt>
                <c:pt idx="251">
                  <c:v>3941337.366569683</c:v>
                </c:pt>
                <c:pt idx="252">
                  <c:v>3812802.8399693142</c:v>
                </c:pt>
                <c:pt idx="253">
                  <c:v>4185487.822662232</c:v>
                </c:pt>
                <c:pt idx="254">
                  <c:v>3782871.7405010508</c:v>
                </c:pt>
                <c:pt idx="255">
                  <c:v>3688081.7241173969</c:v>
                </c:pt>
                <c:pt idx="256">
                  <c:v>3630597.0484503089</c:v>
                </c:pt>
                <c:pt idx="257">
                  <c:v>5676365.2899285574</c:v>
                </c:pt>
                <c:pt idx="258">
                  <c:v>4312946.1909396918</c:v>
                </c:pt>
                <c:pt idx="259">
                  <c:v>4225367.8525745394</c:v>
                </c:pt>
                <c:pt idx="260">
                  <c:v>4782193.530325125</c:v>
                </c:pt>
                <c:pt idx="261">
                  <c:v>4351998.4307824597</c:v>
                </c:pt>
                <c:pt idx="262">
                  <c:v>4238841.7743130606</c:v>
                </c:pt>
                <c:pt idx="263">
                  <c:v>3997201.7031802461</c:v>
                </c:pt>
                <c:pt idx="264">
                  <c:v>4323150.9139979007</c:v>
                </c:pt>
                <c:pt idx="265">
                  <c:v>4774180.8985841274</c:v>
                </c:pt>
                <c:pt idx="266">
                  <c:v>4153346.4563087542</c:v>
                </c:pt>
                <c:pt idx="267">
                  <c:v>4080947.674018003</c:v>
                </c:pt>
                <c:pt idx="268">
                  <c:v>3905661.2333658701</c:v>
                </c:pt>
                <c:pt idx="269">
                  <c:v>3761979.7145182928</c:v>
                </c:pt>
                <c:pt idx="270">
                  <c:v>3638734.422557231</c:v>
                </c:pt>
                <c:pt idx="271">
                  <c:v>3530897.5463641342</c:v>
                </c:pt>
                <c:pt idx="272">
                  <c:v>3432742.5746095669</c:v>
                </c:pt>
                <c:pt idx="273">
                  <c:v>3343303.4510850082</c:v>
                </c:pt>
                <c:pt idx="274">
                  <c:v>3260548.2257832061</c:v>
                </c:pt>
                <c:pt idx="275">
                  <c:v>3182045.9841087349</c:v>
                </c:pt>
                <c:pt idx="276">
                  <c:v>3108367.9569993182</c:v>
                </c:pt>
                <c:pt idx="277">
                  <c:v>3037320.367783376</c:v>
                </c:pt>
                <c:pt idx="278">
                  <c:v>2968978.7610993348</c:v>
                </c:pt>
                <c:pt idx="279">
                  <c:v>2903081.9882186642</c:v>
                </c:pt>
                <c:pt idx="280">
                  <c:v>2839894.090905203</c:v>
                </c:pt>
                <c:pt idx="281">
                  <c:v>5459075.1378673324</c:v>
                </c:pt>
                <c:pt idx="282">
                  <c:v>4001161.369900669</c:v>
                </c:pt>
                <c:pt idx="283">
                  <c:v>3767024.758640354</c:v>
                </c:pt>
                <c:pt idx="284">
                  <c:v>3678121.9725306369</c:v>
                </c:pt>
                <c:pt idx="285">
                  <c:v>3511389.4745673612</c:v>
                </c:pt>
                <c:pt idx="286">
                  <c:v>3344880.5573058282</c:v>
                </c:pt>
                <c:pt idx="287">
                  <c:v>3210794.5352075049</c:v>
                </c:pt>
                <c:pt idx="288">
                  <c:v>3098109.4676182941</c:v>
                </c:pt>
                <c:pt idx="289">
                  <c:v>3001171.0013106042</c:v>
                </c:pt>
                <c:pt idx="290">
                  <c:v>2915681.9929051171</c:v>
                </c:pt>
                <c:pt idx="291">
                  <c:v>2838480.1298864791</c:v>
                </c:pt>
                <c:pt idx="292">
                  <c:v>2767602.2525514448</c:v>
                </c:pt>
                <c:pt idx="293">
                  <c:v>2799675.984344915</c:v>
                </c:pt>
                <c:pt idx="294">
                  <c:v>2664540.321437086</c:v>
                </c:pt>
                <c:pt idx="295">
                  <c:v>2609055.800211275</c:v>
                </c:pt>
                <c:pt idx="296">
                  <c:v>2551183.507952455</c:v>
                </c:pt>
                <c:pt idx="297">
                  <c:v>2500000</c:v>
                </c:pt>
                <c:pt idx="298">
                  <c:v>2500000</c:v>
                </c:pt>
                <c:pt idx="299">
                  <c:v>2500000</c:v>
                </c:pt>
                <c:pt idx="300">
                  <c:v>2617640.2084259512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2500000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3767009.1049390072</c:v>
                </c:pt>
                <c:pt idx="311">
                  <c:v>2590664.3195453589</c:v>
                </c:pt>
                <c:pt idx="312">
                  <c:v>2704307.028727938</c:v>
                </c:pt>
                <c:pt idx="313">
                  <c:v>2644985.187848507</c:v>
                </c:pt>
                <c:pt idx="314">
                  <c:v>3068299.941684416</c:v>
                </c:pt>
                <c:pt idx="315">
                  <c:v>2640373.9893497308</c:v>
                </c:pt>
                <c:pt idx="316">
                  <c:v>2645699.303689064</c:v>
                </c:pt>
                <c:pt idx="317">
                  <c:v>2592600.9041427039</c:v>
                </c:pt>
                <c:pt idx="318">
                  <c:v>2557721.3735851808</c:v>
                </c:pt>
                <c:pt idx="319">
                  <c:v>2533671.12554903</c:v>
                </c:pt>
                <c:pt idx="320">
                  <c:v>3753810.2632822711</c:v>
                </c:pt>
                <c:pt idx="321">
                  <c:v>2783765.2104980722</c:v>
                </c:pt>
                <c:pt idx="322">
                  <c:v>2951169.243957777</c:v>
                </c:pt>
                <c:pt idx="323">
                  <c:v>2775934.6382258399</c:v>
                </c:pt>
                <c:pt idx="324">
                  <c:v>2704501.136338016</c:v>
                </c:pt>
                <c:pt idx="325">
                  <c:v>2634041.201541496</c:v>
                </c:pt>
                <c:pt idx="326">
                  <c:v>2586105.7012094231</c:v>
                </c:pt>
                <c:pt idx="327">
                  <c:v>2553164.388885479</c:v>
                </c:pt>
                <c:pt idx="328">
                  <c:v>2530548.5546217151</c:v>
                </c:pt>
                <c:pt idx="329">
                  <c:v>2515020.286957765</c:v>
                </c:pt>
                <c:pt idx="330">
                  <c:v>2504358.5056377598</c:v>
                </c:pt>
                <c:pt idx="331">
                  <c:v>2666490.8693051031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3328346.9869527388</c:v>
                </c:pt>
                <c:pt idx="346">
                  <c:v>2541631.356558471</c:v>
                </c:pt>
                <c:pt idx="347">
                  <c:v>2598422.5673840828</c:v>
                </c:pt>
                <c:pt idx="348">
                  <c:v>2796209.6705137342</c:v>
                </c:pt>
                <c:pt idx="349">
                  <c:v>2639887.5198811088</c:v>
                </c:pt>
                <c:pt idx="350">
                  <c:v>2737208.612300761</c:v>
                </c:pt>
                <c:pt idx="351">
                  <c:v>2574910.866734351</c:v>
                </c:pt>
                <c:pt idx="352">
                  <c:v>2553524.5005717878</c:v>
                </c:pt>
                <c:pt idx="353">
                  <c:v>2598057.9573467029</c:v>
                </c:pt>
                <c:pt idx="354">
                  <c:v>2513410.6267208629</c:v>
                </c:pt>
                <c:pt idx="355">
                  <c:v>2574315.7966876738</c:v>
                </c:pt>
                <c:pt idx="356">
                  <c:v>2600867.0905126482</c:v>
                </c:pt>
                <c:pt idx="357">
                  <c:v>2512936.4498243099</c:v>
                </c:pt>
                <c:pt idx="358">
                  <c:v>2507640.3735450152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12-4683-AA76-F4885A8218AE}"/>
            </c:ext>
          </c:extLst>
        </c:ser>
        <c:ser>
          <c:idx val="0"/>
          <c:order val="1"/>
          <c:tx>
            <c:strRef>
              <c:f>Sheet1!$I$10</c:f>
              <c:strCache>
                <c:ptCount val="1"/>
                <c:pt idx="0">
                  <c:v>観測値（Arase2023）×10万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Sheet1!$I$11:$I$375</c:f>
              <c:numCache>
                <c:formatCode>#,##0_);[Red]\(#,##0\)</c:formatCode>
                <c:ptCount val="365"/>
                <c:pt idx="0">
                  <c:v>3202000.0000000005</c:v>
                </c:pt>
                <c:pt idx="1">
                  <c:v>3202000.0000000005</c:v>
                </c:pt>
                <c:pt idx="2">
                  <c:v>3202000.0000000005</c:v>
                </c:pt>
                <c:pt idx="3">
                  <c:v>3179000</c:v>
                </c:pt>
                <c:pt idx="4">
                  <c:v>3140000</c:v>
                </c:pt>
                <c:pt idx="5">
                  <c:v>3150000</c:v>
                </c:pt>
                <c:pt idx="6">
                  <c:v>3197000</c:v>
                </c:pt>
                <c:pt idx="7">
                  <c:v>3220000.0000000005</c:v>
                </c:pt>
                <c:pt idx="8">
                  <c:v>3294000</c:v>
                </c:pt>
                <c:pt idx="9">
                  <c:v>3268000</c:v>
                </c:pt>
                <c:pt idx="10">
                  <c:v>3261999.9999999995</c:v>
                </c:pt>
                <c:pt idx="11">
                  <c:v>3174000</c:v>
                </c:pt>
                <c:pt idx="12">
                  <c:v>3206000</c:v>
                </c:pt>
                <c:pt idx="13">
                  <c:v>6259000</c:v>
                </c:pt>
                <c:pt idx="14">
                  <c:v>4065000</c:v>
                </c:pt>
                <c:pt idx="15">
                  <c:v>3838000.0000000005</c:v>
                </c:pt>
                <c:pt idx="16">
                  <c:v>3254999.9999999995</c:v>
                </c:pt>
                <c:pt idx="17">
                  <c:v>3281000</c:v>
                </c:pt>
                <c:pt idx="18">
                  <c:v>3297000</c:v>
                </c:pt>
                <c:pt idx="19">
                  <c:v>3232000</c:v>
                </c:pt>
                <c:pt idx="20">
                  <c:v>3177000</c:v>
                </c:pt>
                <c:pt idx="21">
                  <c:v>3231000</c:v>
                </c:pt>
                <c:pt idx="22">
                  <c:v>3722999.9999999995</c:v>
                </c:pt>
                <c:pt idx="23">
                  <c:v>3328000</c:v>
                </c:pt>
                <c:pt idx="24">
                  <c:v>3145000</c:v>
                </c:pt>
                <c:pt idx="25">
                  <c:v>3091000</c:v>
                </c:pt>
                <c:pt idx="26">
                  <c:v>3166000</c:v>
                </c:pt>
                <c:pt idx="27">
                  <c:v>3194000</c:v>
                </c:pt>
                <c:pt idx="28">
                  <c:v>3143000</c:v>
                </c:pt>
                <c:pt idx="29">
                  <c:v>3236000</c:v>
                </c:pt>
                <c:pt idx="30">
                  <c:v>3202000.0000000005</c:v>
                </c:pt>
                <c:pt idx="31">
                  <c:v>3226000</c:v>
                </c:pt>
                <c:pt idx="32">
                  <c:v>3292000</c:v>
                </c:pt>
                <c:pt idx="33">
                  <c:v>3329000</c:v>
                </c:pt>
                <c:pt idx="34">
                  <c:v>3310000</c:v>
                </c:pt>
                <c:pt idx="35">
                  <c:v>3272999.9999999995</c:v>
                </c:pt>
                <c:pt idx="36">
                  <c:v>3265000</c:v>
                </c:pt>
                <c:pt idx="37">
                  <c:v>4043000</c:v>
                </c:pt>
                <c:pt idx="38">
                  <c:v>3976000</c:v>
                </c:pt>
                <c:pt idx="39">
                  <c:v>3690999.9999999995</c:v>
                </c:pt>
                <c:pt idx="40">
                  <c:v>4058000</c:v>
                </c:pt>
                <c:pt idx="41">
                  <c:v>3565999.9999999995</c:v>
                </c:pt>
                <c:pt idx="42">
                  <c:v>3479000</c:v>
                </c:pt>
                <c:pt idx="43">
                  <c:v>5681000</c:v>
                </c:pt>
                <c:pt idx="44">
                  <c:v>4726000</c:v>
                </c:pt>
                <c:pt idx="45">
                  <c:v>4459000</c:v>
                </c:pt>
                <c:pt idx="46">
                  <c:v>3979000</c:v>
                </c:pt>
                <c:pt idx="47">
                  <c:v>3646000</c:v>
                </c:pt>
                <c:pt idx="48">
                  <c:v>3804999.9999999995</c:v>
                </c:pt>
                <c:pt idx="49">
                  <c:v>6423999.9999999991</c:v>
                </c:pt>
                <c:pt idx="50">
                  <c:v>6439000</c:v>
                </c:pt>
                <c:pt idx="51">
                  <c:v>5171000</c:v>
                </c:pt>
                <c:pt idx="52">
                  <c:v>4679000</c:v>
                </c:pt>
                <c:pt idx="53">
                  <c:v>4614000</c:v>
                </c:pt>
                <c:pt idx="54">
                  <c:v>4317000</c:v>
                </c:pt>
                <c:pt idx="55">
                  <c:v>4065999.9999999995</c:v>
                </c:pt>
                <c:pt idx="56">
                  <c:v>3686000</c:v>
                </c:pt>
                <c:pt idx="57">
                  <c:v>3540000</c:v>
                </c:pt>
                <c:pt idx="58">
                  <c:v>3396000</c:v>
                </c:pt>
                <c:pt idx="59">
                  <c:v>3632000</c:v>
                </c:pt>
                <c:pt idx="60">
                  <c:v>3854000</c:v>
                </c:pt>
                <c:pt idx="61">
                  <c:v>3315999.9999999995</c:v>
                </c:pt>
                <c:pt idx="62">
                  <c:v>3236000</c:v>
                </c:pt>
                <c:pt idx="63">
                  <c:v>3150000</c:v>
                </c:pt>
                <c:pt idx="64">
                  <c:v>3153000</c:v>
                </c:pt>
                <c:pt idx="65">
                  <c:v>3202000.0000000005</c:v>
                </c:pt>
                <c:pt idx="66">
                  <c:v>3265000</c:v>
                </c:pt>
                <c:pt idx="67">
                  <c:v>3265000</c:v>
                </c:pt>
                <c:pt idx="68">
                  <c:v>3168000</c:v>
                </c:pt>
                <c:pt idx="69">
                  <c:v>3265000</c:v>
                </c:pt>
                <c:pt idx="70">
                  <c:v>3422999.9999999995</c:v>
                </c:pt>
                <c:pt idx="71">
                  <c:v>3717000</c:v>
                </c:pt>
                <c:pt idx="72">
                  <c:v>3304999.9999999995</c:v>
                </c:pt>
                <c:pt idx="73">
                  <c:v>3260000</c:v>
                </c:pt>
                <c:pt idx="74">
                  <c:v>3329000</c:v>
                </c:pt>
                <c:pt idx="75">
                  <c:v>3395000.0000000005</c:v>
                </c:pt>
                <c:pt idx="76">
                  <c:v>4178000</c:v>
                </c:pt>
                <c:pt idx="77">
                  <c:v>3189000</c:v>
                </c:pt>
                <c:pt idx="78">
                  <c:v>3221000</c:v>
                </c:pt>
                <c:pt idx="79">
                  <c:v>5248000</c:v>
                </c:pt>
                <c:pt idx="80">
                  <c:v>6909000</c:v>
                </c:pt>
                <c:pt idx="81">
                  <c:v>5237000</c:v>
                </c:pt>
                <c:pt idx="82">
                  <c:v>4641000</c:v>
                </c:pt>
                <c:pt idx="83">
                  <c:v>5099000</c:v>
                </c:pt>
                <c:pt idx="84">
                  <c:v>7318000.0000000009</c:v>
                </c:pt>
                <c:pt idx="85">
                  <c:v>6313000</c:v>
                </c:pt>
                <c:pt idx="86">
                  <c:v>5113000</c:v>
                </c:pt>
                <c:pt idx="87">
                  <c:v>4481000</c:v>
                </c:pt>
                <c:pt idx="88">
                  <c:v>4094000</c:v>
                </c:pt>
                <c:pt idx="89">
                  <c:v>3804000</c:v>
                </c:pt>
                <c:pt idx="90">
                  <c:v>3575000</c:v>
                </c:pt>
                <c:pt idx="91">
                  <c:v>3364000</c:v>
                </c:pt>
                <c:pt idx="92">
                  <c:v>3276000</c:v>
                </c:pt>
                <c:pt idx="93">
                  <c:v>3511000</c:v>
                </c:pt>
                <c:pt idx="94">
                  <c:v>3368000</c:v>
                </c:pt>
                <c:pt idx="95">
                  <c:v>3304999.9999999995</c:v>
                </c:pt>
                <c:pt idx="96">
                  <c:v>6359000</c:v>
                </c:pt>
                <c:pt idx="97">
                  <c:v>5334000</c:v>
                </c:pt>
                <c:pt idx="98">
                  <c:v>4472000</c:v>
                </c:pt>
                <c:pt idx="99">
                  <c:v>4104999.9999999995</c:v>
                </c:pt>
                <c:pt idx="100">
                  <c:v>4009000.0000000005</c:v>
                </c:pt>
                <c:pt idx="101">
                  <c:v>4537000</c:v>
                </c:pt>
                <c:pt idx="102">
                  <c:v>4057000</c:v>
                </c:pt>
                <c:pt idx="103">
                  <c:v>4231000</c:v>
                </c:pt>
                <c:pt idx="104">
                  <c:v>9961000</c:v>
                </c:pt>
                <c:pt idx="105">
                  <c:v>9661000</c:v>
                </c:pt>
                <c:pt idx="106">
                  <c:v>7512000</c:v>
                </c:pt>
                <c:pt idx="107">
                  <c:v>6409000</c:v>
                </c:pt>
                <c:pt idx="108">
                  <c:v>5963000</c:v>
                </c:pt>
                <c:pt idx="109">
                  <c:v>5593000</c:v>
                </c:pt>
                <c:pt idx="110">
                  <c:v>5457000</c:v>
                </c:pt>
                <c:pt idx="111">
                  <c:v>4965000</c:v>
                </c:pt>
                <c:pt idx="112">
                  <c:v>4816000</c:v>
                </c:pt>
                <c:pt idx="113">
                  <c:v>4906000</c:v>
                </c:pt>
                <c:pt idx="114">
                  <c:v>5010000</c:v>
                </c:pt>
                <c:pt idx="115">
                  <c:v>8441000</c:v>
                </c:pt>
                <c:pt idx="116">
                  <c:v>5530000</c:v>
                </c:pt>
                <c:pt idx="117">
                  <c:v>5168000</c:v>
                </c:pt>
                <c:pt idx="118">
                  <c:v>7923999.9999999991</c:v>
                </c:pt>
                <c:pt idx="119">
                  <c:v>12804000</c:v>
                </c:pt>
                <c:pt idx="120">
                  <c:v>8550000</c:v>
                </c:pt>
                <c:pt idx="121">
                  <c:v>7137000</c:v>
                </c:pt>
                <c:pt idx="122">
                  <c:v>6383000</c:v>
                </c:pt>
                <c:pt idx="123">
                  <c:v>6143000</c:v>
                </c:pt>
                <c:pt idx="124">
                  <c:v>6065000</c:v>
                </c:pt>
                <c:pt idx="125">
                  <c:v>10274000</c:v>
                </c:pt>
                <c:pt idx="126">
                  <c:v>85510000</c:v>
                </c:pt>
                <c:pt idx="127">
                  <c:v>46401000</c:v>
                </c:pt>
                <c:pt idx="128">
                  <c:v>18157000</c:v>
                </c:pt>
                <c:pt idx="129">
                  <c:v>11068000</c:v>
                </c:pt>
                <c:pt idx="130">
                  <c:v>9177000</c:v>
                </c:pt>
                <c:pt idx="131">
                  <c:v>7847000</c:v>
                </c:pt>
                <c:pt idx="132">
                  <c:v>7294000</c:v>
                </c:pt>
                <c:pt idx="133">
                  <c:v>7384999.9999999991</c:v>
                </c:pt>
                <c:pt idx="134">
                  <c:v>6216000</c:v>
                </c:pt>
                <c:pt idx="135">
                  <c:v>5601000</c:v>
                </c:pt>
                <c:pt idx="136">
                  <c:v>5538000</c:v>
                </c:pt>
                <c:pt idx="137">
                  <c:v>5354000</c:v>
                </c:pt>
                <c:pt idx="138">
                  <c:v>5690000</c:v>
                </c:pt>
                <c:pt idx="139">
                  <c:v>5336000</c:v>
                </c:pt>
                <c:pt idx="140">
                  <c:v>4787000</c:v>
                </c:pt>
                <c:pt idx="141">
                  <c:v>4690000</c:v>
                </c:pt>
                <c:pt idx="142">
                  <c:v>4430000</c:v>
                </c:pt>
                <c:pt idx="143">
                  <c:v>4289000</c:v>
                </c:pt>
                <c:pt idx="144">
                  <c:v>4088000.0000000005</c:v>
                </c:pt>
                <c:pt idx="145">
                  <c:v>4104000</c:v>
                </c:pt>
                <c:pt idx="146">
                  <c:v>3986999.9999999995</c:v>
                </c:pt>
                <c:pt idx="147">
                  <c:v>3903000</c:v>
                </c:pt>
                <c:pt idx="148">
                  <c:v>4290000</c:v>
                </c:pt>
                <c:pt idx="149">
                  <c:v>8428000</c:v>
                </c:pt>
                <c:pt idx="150">
                  <c:v>40557000</c:v>
                </c:pt>
                <c:pt idx="151">
                  <c:v>15529000</c:v>
                </c:pt>
                <c:pt idx="152">
                  <c:v>13930000.000000002</c:v>
                </c:pt>
                <c:pt idx="153">
                  <c:v>11355000</c:v>
                </c:pt>
                <c:pt idx="154">
                  <c:v>8625000</c:v>
                </c:pt>
                <c:pt idx="155">
                  <c:v>7452000</c:v>
                </c:pt>
                <c:pt idx="156">
                  <c:v>10241000</c:v>
                </c:pt>
                <c:pt idx="157">
                  <c:v>10019000</c:v>
                </c:pt>
                <c:pt idx="158">
                  <c:v>15838000</c:v>
                </c:pt>
                <c:pt idx="159">
                  <c:v>19483000</c:v>
                </c:pt>
                <c:pt idx="160">
                  <c:v>13128000</c:v>
                </c:pt>
                <c:pt idx="161">
                  <c:v>8496000</c:v>
                </c:pt>
                <c:pt idx="162">
                  <c:v>6854000.0000000009</c:v>
                </c:pt>
                <c:pt idx="163">
                  <c:v>6331000</c:v>
                </c:pt>
                <c:pt idx="164">
                  <c:v>5590000</c:v>
                </c:pt>
                <c:pt idx="165">
                  <c:v>5940000</c:v>
                </c:pt>
                <c:pt idx="166">
                  <c:v>6540000.0000000009</c:v>
                </c:pt>
                <c:pt idx="167">
                  <c:v>5841000</c:v>
                </c:pt>
                <c:pt idx="168">
                  <c:v>5507000</c:v>
                </c:pt>
                <c:pt idx="169">
                  <c:v>5275000</c:v>
                </c:pt>
                <c:pt idx="170">
                  <c:v>4857000</c:v>
                </c:pt>
                <c:pt idx="171">
                  <c:v>5701000</c:v>
                </c:pt>
                <c:pt idx="172">
                  <c:v>4305000</c:v>
                </c:pt>
                <c:pt idx="173">
                  <c:v>3413000.0000000005</c:v>
                </c:pt>
                <c:pt idx="174">
                  <c:v>2992000</c:v>
                </c:pt>
                <c:pt idx="175">
                  <c:v>3242000</c:v>
                </c:pt>
                <c:pt idx="176">
                  <c:v>4657000</c:v>
                </c:pt>
                <c:pt idx="177">
                  <c:v>3731000</c:v>
                </c:pt>
                <c:pt idx="178">
                  <c:v>7416000</c:v>
                </c:pt>
                <c:pt idx="179">
                  <c:v>12323000</c:v>
                </c:pt>
                <c:pt idx="180">
                  <c:v>153606000</c:v>
                </c:pt>
                <c:pt idx="181">
                  <c:v>203833000</c:v>
                </c:pt>
                <c:pt idx="182">
                  <c:v>62645000.000000007</c:v>
                </c:pt>
                <c:pt idx="183">
                  <c:v>175595000</c:v>
                </c:pt>
                <c:pt idx="184">
                  <c:v>52526000</c:v>
                </c:pt>
                <c:pt idx="185">
                  <c:v>32436000</c:v>
                </c:pt>
                <c:pt idx="186">
                  <c:v>24293000</c:v>
                </c:pt>
                <c:pt idx="187">
                  <c:v>35478000</c:v>
                </c:pt>
                <c:pt idx="188">
                  <c:v>34504000</c:v>
                </c:pt>
                <c:pt idx="189">
                  <c:v>106474000</c:v>
                </c:pt>
                <c:pt idx="190">
                  <c:v>219298999.99999997</c:v>
                </c:pt>
                <c:pt idx="191">
                  <c:v>56912000</c:v>
                </c:pt>
                <c:pt idx="192">
                  <c:v>33198000</c:v>
                </c:pt>
                <c:pt idx="193">
                  <c:v>24002000</c:v>
                </c:pt>
                <c:pt idx="194">
                  <c:v>18917000</c:v>
                </c:pt>
                <c:pt idx="195">
                  <c:v>15288000</c:v>
                </c:pt>
                <c:pt idx="196">
                  <c:v>13265000</c:v>
                </c:pt>
                <c:pt idx="197">
                  <c:v>11468000</c:v>
                </c:pt>
                <c:pt idx="198">
                  <c:v>11015000</c:v>
                </c:pt>
                <c:pt idx="199">
                  <c:v>11863000</c:v>
                </c:pt>
                <c:pt idx="200">
                  <c:v>11313000</c:v>
                </c:pt>
                <c:pt idx="201">
                  <c:v>9241000</c:v>
                </c:pt>
                <c:pt idx="202">
                  <c:v>8767000</c:v>
                </c:pt>
                <c:pt idx="203">
                  <c:v>7298000</c:v>
                </c:pt>
                <c:pt idx="204">
                  <c:v>7995999.9999999991</c:v>
                </c:pt>
                <c:pt idx="205">
                  <c:v>9617000</c:v>
                </c:pt>
                <c:pt idx="206">
                  <c:v>8764000</c:v>
                </c:pt>
                <c:pt idx="207">
                  <c:v>6805000</c:v>
                </c:pt>
                <c:pt idx="208">
                  <c:v>5774000</c:v>
                </c:pt>
                <c:pt idx="209">
                  <c:v>5059000</c:v>
                </c:pt>
                <c:pt idx="210">
                  <c:v>5331000</c:v>
                </c:pt>
                <c:pt idx="211">
                  <c:v>5023000</c:v>
                </c:pt>
                <c:pt idx="212">
                  <c:v>4660000</c:v>
                </c:pt>
                <c:pt idx="213">
                  <c:v>4324000</c:v>
                </c:pt>
                <c:pt idx="214">
                  <c:v>3977000.0000000005</c:v>
                </c:pt>
                <c:pt idx="215">
                  <c:v>3897999.9999999995</c:v>
                </c:pt>
                <c:pt idx="216">
                  <c:v>3646000</c:v>
                </c:pt>
                <c:pt idx="217">
                  <c:v>3494000</c:v>
                </c:pt>
                <c:pt idx="218">
                  <c:v>4068000</c:v>
                </c:pt>
                <c:pt idx="219">
                  <c:v>4625000</c:v>
                </c:pt>
                <c:pt idx="220">
                  <c:v>13938000</c:v>
                </c:pt>
                <c:pt idx="221">
                  <c:v>18157000</c:v>
                </c:pt>
                <c:pt idx="222">
                  <c:v>6451000.0000000009</c:v>
                </c:pt>
                <c:pt idx="223">
                  <c:v>5578000</c:v>
                </c:pt>
                <c:pt idx="224">
                  <c:v>4465000</c:v>
                </c:pt>
                <c:pt idx="225">
                  <c:v>3935000</c:v>
                </c:pt>
                <c:pt idx="226">
                  <c:v>3560000</c:v>
                </c:pt>
                <c:pt idx="227">
                  <c:v>3577000.0000000005</c:v>
                </c:pt>
                <c:pt idx="228">
                  <c:v>7019000</c:v>
                </c:pt>
                <c:pt idx="229">
                  <c:v>6238000</c:v>
                </c:pt>
                <c:pt idx="230">
                  <c:v>4733000</c:v>
                </c:pt>
                <c:pt idx="231">
                  <c:v>3586999.9999999995</c:v>
                </c:pt>
                <c:pt idx="232">
                  <c:v>3625000</c:v>
                </c:pt>
                <c:pt idx="233">
                  <c:v>3313000.0000000005</c:v>
                </c:pt>
                <c:pt idx="234">
                  <c:v>3621000</c:v>
                </c:pt>
                <c:pt idx="235">
                  <c:v>3570000.0000000005</c:v>
                </c:pt>
                <c:pt idx="236">
                  <c:v>5142000</c:v>
                </c:pt>
                <c:pt idx="237">
                  <c:v>3961000</c:v>
                </c:pt>
                <c:pt idx="238">
                  <c:v>4316000</c:v>
                </c:pt>
                <c:pt idx="239">
                  <c:v>4027000.0000000005</c:v>
                </c:pt>
                <c:pt idx="240">
                  <c:v>4338000</c:v>
                </c:pt>
                <c:pt idx="241">
                  <c:v>3379000</c:v>
                </c:pt>
                <c:pt idx="242">
                  <c:v>4056000</c:v>
                </c:pt>
                <c:pt idx="243">
                  <c:v>4029999.9999999995</c:v>
                </c:pt>
                <c:pt idx="244">
                  <c:v>3486999.9999999995</c:v>
                </c:pt>
                <c:pt idx="245">
                  <c:v>3184000</c:v>
                </c:pt>
                <c:pt idx="246">
                  <c:v>3010000</c:v>
                </c:pt>
                <c:pt idx="247">
                  <c:v>2867000</c:v>
                </c:pt>
                <c:pt idx="248">
                  <c:v>2988000</c:v>
                </c:pt>
                <c:pt idx="249">
                  <c:v>2895000</c:v>
                </c:pt>
                <c:pt idx="250">
                  <c:v>2840000</c:v>
                </c:pt>
                <c:pt idx="251">
                  <c:v>2716000</c:v>
                </c:pt>
                <c:pt idx="252">
                  <c:v>2863000</c:v>
                </c:pt>
                <c:pt idx="253">
                  <c:v>3091000</c:v>
                </c:pt>
                <c:pt idx="254">
                  <c:v>3243000</c:v>
                </c:pt>
                <c:pt idx="255">
                  <c:v>2835000</c:v>
                </c:pt>
                <c:pt idx="256">
                  <c:v>3072000</c:v>
                </c:pt>
                <c:pt idx="257">
                  <c:v>2903000</c:v>
                </c:pt>
                <c:pt idx="258">
                  <c:v>2701000</c:v>
                </c:pt>
                <c:pt idx="259">
                  <c:v>2535000</c:v>
                </c:pt>
                <c:pt idx="260">
                  <c:v>2496000</c:v>
                </c:pt>
                <c:pt idx="261">
                  <c:v>2533000</c:v>
                </c:pt>
                <c:pt idx="262">
                  <c:v>2547000</c:v>
                </c:pt>
                <c:pt idx="263">
                  <c:v>2738000</c:v>
                </c:pt>
                <c:pt idx="264">
                  <c:v>2743000</c:v>
                </c:pt>
                <c:pt idx="265">
                  <c:v>2773000</c:v>
                </c:pt>
                <c:pt idx="266">
                  <c:v>2615000</c:v>
                </c:pt>
                <c:pt idx="267">
                  <c:v>2555000</c:v>
                </c:pt>
                <c:pt idx="268">
                  <c:v>2662000</c:v>
                </c:pt>
                <c:pt idx="269">
                  <c:v>2584000</c:v>
                </c:pt>
                <c:pt idx="270">
                  <c:v>2505000</c:v>
                </c:pt>
                <c:pt idx="271">
                  <c:v>2554000</c:v>
                </c:pt>
                <c:pt idx="272">
                  <c:v>2514000</c:v>
                </c:pt>
                <c:pt idx="273">
                  <c:v>2523000</c:v>
                </c:pt>
                <c:pt idx="274">
                  <c:v>2482000</c:v>
                </c:pt>
                <c:pt idx="275">
                  <c:v>2621000</c:v>
                </c:pt>
                <c:pt idx="276">
                  <c:v>2778000</c:v>
                </c:pt>
                <c:pt idx="277">
                  <c:v>2870000</c:v>
                </c:pt>
                <c:pt idx="278">
                  <c:v>2801000</c:v>
                </c:pt>
                <c:pt idx="279">
                  <c:v>2855000</c:v>
                </c:pt>
                <c:pt idx="280">
                  <c:v>3185000</c:v>
                </c:pt>
                <c:pt idx="281">
                  <c:v>3222999.9999999995</c:v>
                </c:pt>
                <c:pt idx="282">
                  <c:v>2927000</c:v>
                </c:pt>
                <c:pt idx="283">
                  <c:v>2766000</c:v>
                </c:pt>
                <c:pt idx="284">
                  <c:v>2954000</c:v>
                </c:pt>
                <c:pt idx="285">
                  <c:v>2919000</c:v>
                </c:pt>
                <c:pt idx="286">
                  <c:v>2896000</c:v>
                </c:pt>
                <c:pt idx="287">
                  <c:v>2889000</c:v>
                </c:pt>
                <c:pt idx="288">
                  <c:v>2869000</c:v>
                </c:pt>
                <c:pt idx="289">
                  <c:v>2818000</c:v>
                </c:pt>
                <c:pt idx="290">
                  <c:v>2870000</c:v>
                </c:pt>
                <c:pt idx="291">
                  <c:v>2945000</c:v>
                </c:pt>
                <c:pt idx="292">
                  <c:v>3158000</c:v>
                </c:pt>
                <c:pt idx="293">
                  <c:v>3002000</c:v>
                </c:pt>
                <c:pt idx="294">
                  <c:v>2929000</c:v>
                </c:pt>
                <c:pt idx="295">
                  <c:v>2935000</c:v>
                </c:pt>
                <c:pt idx="296">
                  <c:v>3075000</c:v>
                </c:pt>
                <c:pt idx="297">
                  <c:v>2952000</c:v>
                </c:pt>
                <c:pt idx="298">
                  <c:v>2822000</c:v>
                </c:pt>
                <c:pt idx="299">
                  <c:v>2907000</c:v>
                </c:pt>
                <c:pt idx="300">
                  <c:v>2957000</c:v>
                </c:pt>
                <c:pt idx="301">
                  <c:v>3048000</c:v>
                </c:pt>
                <c:pt idx="302">
                  <c:v>2894000</c:v>
                </c:pt>
                <c:pt idx="303">
                  <c:v>2971000</c:v>
                </c:pt>
                <c:pt idx="304">
                  <c:v>2982000</c:v>
                </c:pt>
                <c:pt idx="305">
                  <c:v>3042000</c:v>
                </c:pt>
                <c:pt idx="306">
                  <c:v>3017000</c:v>
                </c:pt>
                <c:pt idx="307">
                  <c:v>3017000</c:v>
                </c:pt>
                <c:pt idx="308">
                  <c:v>3017000</c:v>
                </c:pt>
                <c:pt idx="309">
                  <c:v>3048000</c:v>
                </c:pt>
                <c:pt idx="310">
                  <c:v>2950000</c:v>
                </c:pt>
                <c:pt idx="311">
                  <c:v>3055000</c:v>
                </c:pt>
                <c:pt idx="312">
                  <c:v>3020000</c:v>
                </c:pt>
                <c:pt idx="313">
                  <c:v>3037000</c:v>
                </c:pt>
                <c:pt idx="314">
                  <c:v>3035000</c:v>
                </c:pt>
                <c:pt idx="315">
                  <c:v>3181000</c:v>
                </c:pt>
                <c:pt idx="316">
                  <c:v>3192000</c:v>
                </c:pt>
                <c:pt idx="317">
                  <c:v>3091000</c:v>
                </c:pt>
                <c:pt idx="318">
                  <c:v>3286000</c:v>
                </c:pt>
                <c:pt idx="319">
                  <c:v>3257000</c:v>
                </c:pt>
                <c:pt idx="320">
                  <c:v>3289000</c:v>
                </c:pt>
                <c:pt idx="321">
                  <c:v>3263000.0000000005</c:v>
                </c:pt>
                <c:pt idx="322">
                  <c:v>3218000</c:v>
                </c:pt>
                <c:pt idx="323">
                  <c:v>3089000</c:v>
                </c:pt>
                <c:pt idx="324">
                  <c:v>3065000</c:v>
                </c:pt>
                <c:pt idx="325">
                  <c:v>3226000</c:v>
                </c:pt>
                <c:pt idx="326">
                  <c:v>3276000</c:v>
                </c:pt>
                <c:pt idx="327">
                  <c:v>3276000</c:v>
                </c:pt>
                <c:pt idx="328">
                  <c:v>3220000.0000000005</c:v>
                </c:pt>
                <c:pt idx="329">
                  <c:v>3197000</c:v>
                </c:pt>
                <c:pt idx="330">
                  <c:v>3218000</c:v>
                </c:pt>
                <c:pt idx="331">
                  <c:v>3324000</c:v>
                </c:pt>
                <c:pt idx="332">
                  <c:v>3249000</c:v>
                </c:pt>
                <c:pt idx="333">
                  <c:v>3215000</c:v>
                </c:pt>
                <c:pt idx="334">
                  <c:v>3192000</c:v>
                </c:pt>
                <c:pt idx="335">
                  <c:v>3145000</c:v>
                </c:pt>
                <c:pt idx="336">
                  <c:v>3228000</c:v>
                </c:pt>
                <c:pt idx="337">
                  <c:v>3294000</c:v>
                </c:pt>
                <c:pt idx="338">
                  <c:v>3297000</c:v>
                </c:pt>
                <c:pt idx="339">
                  <c:v>3268000</c:v>
                </c:pt>
                <c:pt idx="340">
                  <c:v>3247000</c:v>
                </c:pt>
                <c:pt idx="341">
                  <c:v>3276000</c:v>
                </c:pt>
                <c:pt idx="342">
                  <c:v>3265000</c:v>
                </c:pt>
                <c:pt idx="343">
                  <c:v>3278000</c:v>
                </c:pt>
                <c:pt idx="344">
                  <c:v>3357000</c:v>
                </c:pt>
                <c:pt idx="345">
                  <c:v>3374000</c:v>
                </c:pt>
                <c:pt idx="346">
                  <c:v>3276000</c:v>
                </c:pt>
                <c:pt idx="347">
                  <c:v>3260000</c:v>
                </c:pt>
                <c:pt idx="348">
                  <c:v>3276000</c:v>
                </c:pt>
                <c:pt idx="349">
                  <c:v>3308000</c:v>
                </c:pt>
                <c:pt idx="350">
                  <c:v>3204999.9999999995</c:v>
                </c:pt>
                <c:pt idx="351">
                  <c:v>3236000</c:v>
                </c:pt>
                <c:pt idx="352">
                  <c:v>3318000</c:v>
                </c:pt>
                <c:pt idx="353">
                  <c:v>3336999.9999999995</c:v>
                </c:pt>
                <c:pt idx="354">
                  <c:v>3313000.0000000005</c:v>
                </c:pt>
                <c:pt idx="355">
                  <c:v>3231000</c:v>
                </c:pt>
                <c:pt idx="356">
                  <c:v>3231000</c:v>
                </c:pt>
                <c:pt idx="357">
                  <c:v>3204999.9999999995</c:v>
                </c:pt>
                <c:pt idx="358">
                  <c:v>3242000</c:v>
                </c:pt>
                <c:pt idx="359">
                  <c:v>3189000</c:v>
                </c:pt>
                <c:pt idx="360">
                  <c:v>3182000</c:v>
                </c:pt>
                <c:pt idx="361">
                  <c:v>3168000</c:v>
                </c:pt>
                <c:pt idx="362">
                  <c:v>3184000</c:v>
                </c:pt>
                <c:pt idx="363">
                  <c:v>3297000</c:v>
                </c:pt>
                <c:pt idx="364">
                  <c:v>3271000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12-4683-AA76-F4885A821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946864"/>
        <c:axId val="1511946384"/>
      </c:lineChart>
      <c:catAx>
        <c:axId val="151194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600"/>
                  <a:t>日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1946384"/>
        <c:crossesAt val="1000000"/>
        <c:auto val="1"/>
        <c:lblAlgn val="ctr"/>
        <c:lblOffset val="100"/>
        <c:noMultiLvlLbl val="0"/>
      </c:catAx>
      <c:valAx>
        <c:axId val="1511946384"/>
        <c:scaling>
          <c:logBase val="10"/>
          <c:orientation val="minMax"/>
          <c:max val="500000000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/>
                  <a:t>m</a:t>
                </a:r>
                <a:r>
                  <a:rPr lang="en-US" altLang="ja-JP" sz="1600" baseline="30000"/>
                  <a:t>3</a:t>
                </a:r>
                <a:endParaRPr lang="ja-JP" altLang="en-US" sz="1600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194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絶対誤差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Sheet1!$J$10</c:f>
              <c:strCache>
                <c:ptCount val="1"/>
                <c:pt idx="0">
                  <c:v>観測値-計算値: 調整後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Sheet1!$J$11:$J$375</c:f>
              <c:numCache>
                <c:formatCode>#,##0_);[Red]\(#,##0\)</c:formatCode>
                <c:ptCount val="365"/>
                <c:pt idx="0">
                  <c:v>3202000.0000000005</c:v>
                </c:pt>
                <c:pt idx="1">
                  <c:v>3202000.0000000005</c:v>
                </c:pt>
                <c:pt idx="2">
                  <c:v>3202000.0000000005</c:v>
                </c:pt>
                <c:pt idx="3">
                  <c:v>3179000</c:v>
                </c:pt>
                <c:pt idx="4">
                  <c:v>3140000</c:v>
                </c:pt>
                <c:pt idx="5">
                  <c:v>3150000</c:v>
                </c:pt>
                <c:pt idx="6">
                  <c:v>3197000</c:v>
                </c:pt>
                <c:pt idx="7">
                  <c:v>2141430.0000000005</c:v>
                </c:pt>
                <c:pt idx="8">
                  <c:v>2081920</c:v>
                </c:pt>
                <c:pt idx="9">
                  <c:v>2792716</c:v>
                </c:pt>
                <c:pt idx="10">
                  <c:v>2949954.9999999995</c:v>
                </c:pt>
                <c:pt idx="11">
                  <c:v>2941169</c:v>
                </c:pt>
                <c:pt idx="12">
                  <c:v>2865738</c:v>
                </c:pt>
                <c:pt idx="13">
                  <c:v>3113190</c:v>
                </c:pt>
                <c:pt idx="14">
                  <c:v>10945200</c:v>
                </c:pt>
                <c:pt idx="15">
                  <c:v>14387500</c:v>
                </c:pt>
                <c:pt idx="16">
                  <c:v>13265299.999999998</c:v>
                </c:pt>
                <c:pt idx="17">
                  <c:v>6178180</c:v>
                </c:pt>
                <c:pt idx="18">
                  <c:v>8586800</c:v>
                </c:pt>
                <c:pt idx="19">
                  <c:v>2084150</c:v>
                </c:pt>
                <c:pt idx="20">
                  <c:v>4975930</c:v>
                </c:pt>
                <c:pt idx="21">
                  <c:v>829480</c:v>
                </c:pt>
                <c:pt idx="22">
                  <c:v>1258870.0000000005</c:v>
                </c:pt>
                <c:pt idx="23">
                  <c:v>1903050</c:v>
                </c:pt>
                <c:pt idx="24">
                  <c:v>6337370</c:v>
                </c:pt>
                <c:pt idx="25">
                  <c:v>607500</c:v>
                </c:pt>
                <c:pt idx="26">
                  <c:v>597760</c:v>
                </c:pt>
                <c:pt idx="27">
                  <c:v>3108420</c:v>
                </c:pt>
                <c:pt idx="28">
                  <c:v>1759590</c:v>
                </c:pt>
                <c:pt idx="29">
                  <c:v>2116440</c:v>
                </c:pt>
                <c:pt idx="30">
                  <c:v>1974350.0000000005</c:v>
                </c:pt>
                <c:pt idx="31">
                  <c:v>2209510</c:v>
                </c:pt>
                <c:pt idx="32">
                  <c:v>2525498</c:v>
                </c:pt>
                <c:pt idx="33">
                  <c:v>2715980</c:v>
                </c:pt>
                <c:pt idx="34">
                  <c:v>1657890</c:v>
                </c:pt>
                <c:pt idx="35">
                  <c:v>2859821.9999999995</c:v>
                </c:pt>
                <c:pt idx="36">
                  <c:v>2925143</c:v>
                </c:pt>
                <c:pt idx="37">
                  <c:v>2527770</c:v>
                </c:pt>
                <c:pt idx="38">
                  <c:v>552500</c:v>
                </c:pt>
                <c:pt idx="39">
                  <c:v>1087479.9999999995</c:v>
                </c:pt>
                <c:pt idx="40">
                  <c:v>2185570</c:v>
                </c:pt>
                <c:pt idx="41">
                  <c:v>217460.00000000047</c:v>
                </c:pt>
                <c:pt idx="42">
                  <c:v>4091270</c:v>
                </c:pt>
                <c:pt idx="43">
                  <c:v>388230</c:v>
                </c:pt>
                <c:pt idx="44">
                  <c:v>861690</c:v>
                </c:pt>
                <c:pt idx="45">
                  <c:v>4510380</c:v>
                </c:pt>
                <c:pt idx="46">
                  <c:v>680450</c:v>
                </c:pt>
                <c:pt idx="47">
                  <c:v>1491860</c:v>
                </c:pt>
                <c:pt idx="48">
                  <c:v>2250479.9999999995</c:v>
                </c:pt>
                <c:pt idx="49">
                  <c:v>3352909.9999999991</c:v>
                </c:pt>
                <c:pt idx="50">
                  <c:v>6689600</c:v>
                </c:pt>
                <c:pt idx="51">
                  <c:v>1937560</c:v>
                </c:pt>
                <c:pt idx="52">
                  <c:v>5936600</c:v>
                </c:pt>
                <c:pt idx="53">
                  <c:v>58780</c:v>
                </c:pt>
                <c:pt idx="54">
                  <c:v>1181660</c:v>
                </c:pt>
                <c:pt idx="55">
                  <c:v>3863480.0000000005</c:v>
                </c:pt>
                <c:pt idx="56">
                  <c:v>841760</c:v>
                </c:pt>
                <c:pt idx="57">
                  <c:v>1499310</c:v>
                </c:pt>
                <c:pt idx="58">
                  <c:v>1901190</c:v>
                </c:pt>
                <c:pt idx="59">
                  <c:v>2010650</c:v>
                </c:pt>
                <c:pt idx="60">
                  <c:v>1731150</c:v>
                </c:pt>
                <c:pt idx="61">
                  <c:v>1462450.0000000005</c:v>
                </c:pt>
                <c:pt idx="62">
                  <c:v>807830</c:v>
                </c:pt>
                <c:pt idx="63">
                  <c:v>4214370</c:v>
                </c:pt>
                <c:pt idx="64">
                  <c:v>1368390</c:v>
                </c:pt>
                <c:pt idx="65">
                  <c:v>1913110.0000000005</c:v>
                </c:pt>
                <c:pt idx="66">
                  <c:v>2254760</c:v>
                </c:pt>
                <c:pt idx="67">
                  <c:v>2445869</c:v>
                </c:pt>
                <c:pt idx="68">
                  <c:v>334950</c:v>
                </c:pt>
                <c:pt idx="69">
                  <c:v>3607520</c:v>
                </c:pt>
                <c:pt idx="70">
                  <c:v>1642629.9999999995</c:v>
                </c:pt>
                <c:pt idx="71">
                  <c:v>29460</c:v>
                </c:pt>
                <c:pt idx="72">
                  <c:v>235999.99999999953</c:v>
                </c:pt>
                <c:pt idx="73">
                  <c:v>906320</c:v>
                </c:pt>
                <c:pt idx="74">
                  <c:v>2596460</c:v>
                </c:pt>
                <c:pt idx="75">
                  <c:v>2323200.0000000005</c:v>
                </c:pt>
                <c:pt idx="76">
                  <c:v>248560</c:v>
                </c:pt>
                <c:pt idx="77">
                  <c:v>1223970</c:v>
                </c:pt>
                <c:pt idx="78">
                  <c:v>376740</c:v>
                </c:pt>
                <c:pt idx="79">
                  <c:v>1988220</c:v>
                </c:pt>
                <c:pt idx="80">
                  <c:v>5008100</c:v>
                </c:pt>
                <c:pt idx="81">
                  <c:v>9447100</c:v>
                </c:pt>
                <c:pt idx="82">
                  <c:v>11480700</c:v>
                </c:pt>
                <c:pt idx="83">
                  <c:v>13504300</c:v>
                </c:pt>
                <c:pt idx="84">
                  <c:v>9460000</c:v>
                </c:pt>
                <c:pt idx="85">
                  <c:v>7050600</c:v>
                </c:pt>
                <c:pt idx="86">
                  <c:v>10209700</c:v>
                </c:pt>
                <c:pt idx="87">
                  <c:v>8550400</c:v>
                </c:pt>
                <c:pt idx="88">
                  <c:v>2281990</c:v>
                </c:pt>
                <c:pt idx="89">
                  <c:v>5295200</c:v>
                </c:pt>
                <c:pt idx="90">
                  <c:v>465080</c:v>
                </c:pt>
                <c:pt idx="91">
                  <c:v>1142910</c:v>
                </c:pt>
                <c:pt idx="92">
                  <c:v>2944710</c:v>
                </c:pt>
                <c:pt idx="93">
                  <c:v>2106360</c:v>
                </c:pt>
                <c:pt idx="94">
                  <c:v>2212090</c:v>
                </c:pt>
                <c:pt idx="95">
                  <c:v>1197670.0000000005</c:v>
                </c:pt>
                <c:pt idx="96">
                  <c:v>50830</c:v>
                </c:pt>
                <c:pt idx="97">
                  <c:v>11634600</c:v>
                </c:pt>
                <c:pt idx="98">
                  <c:v>5882200</c:v>
                </c:pt>
                <c:pt idx="99">
                  <c:v>9482300</c:v>
                </c:pt>
                <c:pt idx="100">
                  <c:v>7310100</c:v>
                </c:pt>
                <c:pt idx="101">
                  <c:v>450070</c:v>
                </c:pt>
                <c:pt idx="102">
                  <c:v>5529980</c:v>
                </c:pt>
                <c:pt idx="103">
                  <c:v>7973800</c:v>
                </c:pt>
                <c:pt idx="104">
                  <c:v>2726500</c:v>
                </c:pt>
                <c:pt idx="105">
                  <c:v>11387500</c:v>
                </c:pt>
                <c:pt idx="106">
                  <c:v>11240300</c:v>
                </c:pt>
                <c:pt idx="107">
                  <c:v>10040600</c:v>
                </c:pt>
                <c:pt idx="108">
                  <c:v>7765200</c:v>
                </c:pt>
                <c:pt idx="109">
                  <c:v>1369040</c:v>
                </c:pt>
                <c:pt idx="110">
                  <c:v>4500820</c:v>
                </c:pt>
                <c:pt idx="111">
                  <c:v>1115130</c:v>
                </c:pt>
                <c:pt idx="112">
                  <c:v>2180710</c:v>
                </c:pt>
                <c:pt idx="113">
                  <c:v>1608050</c:v>
                </c:pt>
                <c:pt idx="114">
                  <c:v>3380450</c:v>
                </c:pt>
                <c:pt idx="115">
                  <c:v>3069000</c:v>
                </c:pt>
                <c:pt idx="116">
                  <c:v>10349300</c:v>
                </c:pt>
                <c:pt idx="117">
                  <c:v>5026600</c:v>
                </c:pt>
                <c:pt idx="118">
                  <c:v>4987700.0000000009</c:v>
                </c:pt>
                <c:pt idx="119">
                  <c:v>13746400</c:v>
                </c:pt>
                <c:pt idx="120">
                  <c:v>18846400</c:v>
                </c:pt>
                <c:pt idx="121">
                  <c:v>18262500</c:v>
                </c:pt>
                <c:pt idx="122">
                  <c:v>15278200</c:v>
                </c:pt>
                <c:pt idx="123">
                  <c:v>11804800</c:v>
                </c:pt>
                <c:pt idx="124">
                  <c:v>10337000.000000002</c:v>
                </c:pt>
                <c:pt idx="125">
                  <c:v>3225600</c:v>
                </c:pt>
                <c:pt idx="126">
                  <c:v>57304900</c:v>
                </c:pt>
                <c:pt idx="127">
                  <c:v>1169000</c:v>
                </c:pt>
                <c:pt idx="128">
                  <c:v>25431300</c:v>
                </c:pt>
                <c:pt idx="129">
                  <c:v>28442600</c:v>
                </c:pt>
                <c:pt idx="130">
                  <c:v>24399800</c:v>
                </c:pt>
                <c:pt idx="131">
                  <c:v>20092200</c:v>
                </c:pt>
                <c:pt idx="132">
                  <c:v>15786700</c:v>
                </c:pt>
                <c:pt idx="133">
                  <c:v>17026000</c:v>
                </c:pt>
                <c:pt idx="134">
                  <c:v>14259600</c:v>
                </c:pt>
                <c:pt idx="135">
                  <c:v>12013100</c:v>
                </c:pt>
                <c:pt idx="136">
                  <c:v>9140700</c:v>
                </c:pt>
                <c:pt idx="137">
                  <c:v>6721700</c:v>
                </c:pt>
                <c:pt idx="138">
                  <c:v>4793700</c:v>
                </c:pt>
                <c:pt idx="139">
                  <c:v>9250700</c:v>
                </c:pt>
                <c:pt idx="140">
                  <c:v>3269730</c:v>
                </c:pt>
                <c:pt idx="141">
                  <c:v>6824600</c:v>
                </c:pt>
                <c:pt idx="142">
                  <c:v>5176880</c:v>
                </c:pt>
                <c:pt idx="143">
                  <c:v>660020</c:v>
                </c:pt>
                <c:pt idx="144">
                  <c:v>1536740.0000000005</c:v>
                </c:pt>
                <c:pt idx="145">
                  <c:v>2364460</c:v>
                </c:pt>
                <c:pt idx="146">
                  <c:v>2380569.9999999995</c:v>
                </c:pt>
                <c:pt idx="147">
                  <c:v>2582930</c:v>
                </c:pt>
                <c:pt idx="148">
                  <c:v>3196220</c:v>
                </c:pt>
                <c:pt idx="149">
                  <c:v>7365010</c:v>
                </c:pt>
                <c:pt idx="150">
                  <c:v>26575500</c:v>
                </c:pt>
                <c:pt idx="151">
                  <c:v>12263400</c:v>
                </c:pt>
                <c:pt idx="152">
                  <c:v>13906699.999999998</c:v>
                </c:pt>
                <c:pt idx="153">
                  <c:v>14497700</c:v>
                </c:pt>
                <c:pt idx="154">
                  <c:v>13496700</c:v>
                </c:pt>
                <c:pt idx="155">
                  <c:v>10963700</c:v>
                </c:pt>
                <c:pt idx="156">
                  <c:v>4848800</c:v>
                </c:pt>
                <c:pt idx="157">
                  <c:v>5522600</c:v>
                </c:pt>
                <c:pt idx="158">
                  <c:v>1424400</c:v>
                </c:pt>
                <c:pt idx="159">
                  <c:v>4024100</c:v>
                </c:pt>
                <c:pt idx="160">
                  <c:v>7002100</c:v>
                </c:pt>
                <c:pt idx="161">
                  <c:v>9546400</c:v>
                </c:pt>
                <c:pt idx="162">
                  <c:v>8252099.9999999991</c:v>
                </c:pt>
                <c:pt idx="163">
                  <c:v>1729810</c:v>
                </c:pt>
                <c:pt idx="164">
                  <c:v>4946100</c:v>
                </c:pt>
                <c:pt idx="165">
                  <c:v>1749940</c:v>
                </c:pt>
                <c:pt idx="166">
                  <c:v>1728429.9999999991</c:v>
                </c:pt>
                <c:pt idx="167">
                  <c:v>2909120</c:v>
                </c:pt>
                <c:pt idx="168">
                  <c:v>3362740</c:v>
                </c:pt>
                <c:pt idx="169">
                  <c:v>882480</c:v>
                </c:pt>
                <c:pt idx="170">
                  <c:v>3478120</c:v>
                </c:pt>
                <c:pt idx="171">
                  <c:v>4566230</c:v>
                </c:pt>
                <c:pt idx="172">
                  <c:v>5265380</c:v>
                </c:pt>
                <c:pt idx="173">
                  <c:v>9506600</c:v>
                </c:pt>
                <c:pt idx="174">
                  <c:v>4562490</c:v>
                </c:pt>
                <c:pt idx="175">
                  <c:v>7108400</c:v>
                </c:pt>
                <c:pt idx="176">
                  <c:v>10517700</c:v>
                </c:pt>
                <c:pt idx="177">
                  <c:v>14429100</c:v>
                </c:pt>
                <c:pt idx="178">
                  <c:v>15960100</c:v>
                </c:pt>
                <c:pt idx="179">
                  <c:v>10030500</c:v>
                </c:pt>
                <c:pt idx="180">
                  <c:v>126022700</c:v>
                </c:pt>
                <c:pt idx="181">
                  <c:v>135990500</c:v>
                </c:pt>
                <c:pt idx="182">
                  <c:v>6252399.9999999925</c:v>
                </c:pt>
                <c:pt idx="183">
                  <c:v>102970900</c:v>
                </c:pt>
                <c:pt idx="184">
                  <c:v>178378000</c:v>
                </c:pt>
                <c:pt idx="185">
                  <c:v>140676000</c:v>
                </c:pt>
                <c:pt idx="186">
                  <c:v>68390000</c:v>
                </c:pt>
                <c:pt idx="187">
                  <c:v>42618000</c:v>
                </c:pt>
                <c:pt idx="188">
                  <c:v>39183200</c:v>
                </c:pt>
                <c:pt idx="189">
                  <c:v>41280799.999999993</c:v>
                </c:pt>
                <c:pt idx="190">
                  <c:v>137442799.99999997</c:v>
                </c:pt>
                <c:pt idx="191">
                  <c:v>152671000</c:v>
                </c:pt>
                <c:pt idx="192">
                  <c:v>121301000</c:v>
                </c:pt>
                <c:pt idx="193">
                  <c:v>88382000</c:v>
                </c:pt>
                <c:pt idx="194">
                  <c:v>83680000</c:v>
                </c:pt>
                <c:pt idx="195">
                  <c:v>71886400</c:v>
                </c:pt>
                <c:pt idx="196">
                  <c:v>59324700</c:v>
                </c:pt>
                <c:pt idx="197">
                  <c:v>47373400</c:v>
                </c:pt>
                <c:pt idx="198">
                  <c:v>36204500</c:v>
                </c:pt>
                <c:pt idx="199">
                  <c:v>26385600</c:v>
                </c:pt>
                <c:pt idx="200">
                  <c:v>25230400</c:v>
                </c:pt>
                <c:pt idx="201">
                  <c:v>21669100</c:v>
                </c:pt>
                <c:pt idx="202">
                  <c:v>16548900</c:v>
                </c:pt>
                <c:pt idx="203">
                  <c:v>12870200</c:v>
                </c:pt>
                <c:pt idx="204">
                  <c:v>7825700.0000000009</c:v>
                </c:pt>
                <c:pt idx="205">
                  <c:v>2788700</c:v>
                </c:pt>
                <c:pt idx="206">
                  <c:v>751920</c:v>
                </c:pt>
                <c:pt idx="207">
                  <c:v>492090</c:v>
                </c:pt>
                <c:pt idx="208">
                  <c:v>375650</c:v>
                </c:pt>
                <c:pt idx="209">
                  <c:v>963590</c:v>
                </c:pt>
                <c:pt idx="210">
                  <c:v>2047870</c:v>
                </c:pt>
                <c:pt idx="211">
                  <c:v>2331790</c:v>
                </c:pt>
                <c:pt idx="212">
                  <c:v>2434300</c:v>
                </c:pt>
                <c:pt idx="213">
                  <c:v>2481070</c:v>
                </c:pt>
                <c:pt idx="214">
                  <c:v>2450990.0000000005</c:v>
                </c:pt>
                <c:pt idx="215">
                  <c:v>2326739.9999999995</c:v>
                </c:pt>
                <c:pt idx="216">
                  <c:v>2270010</c:v>
                </c:pt>
                <c:pt idx="217">
                  <c:v>2435100</c:v>
                </c:pt>
                <c:pt idx="218">
                  <c:v>3219579</c:v>
                </c:pt>
                <c:pt idx="219">
                  <c:v>3931168</c:v>
                </c:pt>
                <c:pt idx="220">
                  <c:v>12595260</c:v>
                </c:pt>
                <c:pt idx="221">
                  <c:v>4061500</c:v>
                </c:pt>
                <c:pt idx="222">
                  <c:v>14848800</c:v>
                </c:pt>
                <c:pt idx="223">
                  <c:v>14881300</c:v>
                </c:pt>
                <c:pt idx="224">
                  <c:v>12923800</c:v>
                </c:pt>
                <c:pt idx="225">
                  <c:v>9941500</c:v>
                </c:pt>
                <c:pt idx="226">
                  <c:v>7170900</c:v>
                </c:pt>
                <c:pt idx="227">
                  <c:v>4530419.9999999981</c:v>
                </c:pt>
                <c:pt idx="228">
                  <c:v>1050020</c:v>
                </c:pt>
                <c:pt idx="229">
                  <c:v>3573170</c:v>
                </c:pt>
                <c:pt idx="230">
                  <c:v>4772410</c:v>
                </c:pt>
                <c:pt idx="231">
                  <c:v>4439760</c:v>
                </c:pt>
                <c:pt idx="232">
                  <c:v>2550780</c:v>
                </c:pt>
                <c:pt idx="233">
                  <c:v>1496219.9999999995</c:v>
                </c:pt>
                <c:pt idx="234">
                  <c:v>40100</c:v>
                </c:pt>
                <c:pt idx="235">
                  <c:v>726590.00000000047</c:v>
                </c:pt>
                <c:pt idx="236">
                  <c:v>2840210</c:v>
                </c:pt>
                <c:pt idx="237">
                  <c:v>2067970</c:v>
                </c:pt>
                <c:pt idx="238">
                  <c:v>2751000</c:v>
                </c:pt>
                <c:pt idx="239">
                  <c:v>422190.00000000047</c:v>
                </c:pt>
                <c:pt idx="240">
                  <c:v>733310</c:v>
                </c:pt>
                <c:pt idx="241">
                  <c:v>584280</c:v>
                </c:pt>
                <c:pt idx="242">
                  <c:v>1515160</c:v>
                </c:pt>
                <c:pt idx="243">
                  <c:v>1883789.9999999995</c:v>
                </c:pt>
                <c:pt idx="244">
                  <c:v>112650.00000000047</c:v>
                </c:pt>
                <c:pt idx="245">
                  <c:v>282000</c:v>
                </c:pt>
                <c:pt idx="246">
                  <c:v>365300</c:v>
                </c:pt>
                <c:pt idx="247">
                  <c:v>995200</c:v>
                </c:pt>
                <c:pt idx="248">
                  <c:v>1242030</c:v>
                </c:pt>
                <c:pt idx="249">
                  <c:v>1494820</c:v>
                </c:pt>
                <c:pt idx="250">
                  <c:v>694770</c:v>
                </c:pt>
                <c:pt idx="251">
                  <c:v>268340</c:v>
                </c:pt>
                <c:pt idx="252">
                  <c:v>1050770</c:v>
                </c:pt>
                <c:pt idx="253">
                  <c:v>115000</c:v>
                </c:pt>
                <c:pt idx="254">
                  <c:v>397720</c:v>
                </c:pt>
                <c:pt idx="255">
                  <c:v>741870</c:v>
                </c:pt>
                <c:pt idx="256">
                  <c:v>1367530</c:v>
                </c:pt>
                <c:pt idx="257">
                  <c:v>3889340</c:v>
                </c:pt>
                <c:pt idx="258">
                  <c:v>4694350</c:v>
                </c:pt>
                <c:pt idx="259">
                  <c:v>3848260</c:v>
                </c:pt>
                <c:pt idx="260">
                  <c:v>4517700</c:v>
                </c:pt>
                <c:pt idx="261">
                  <c:v>3742520</c:v>
                </c:pt>
                <c:pt idx="262">
                  <c:v>2702610</c:v>
                </c:pt>
                <c:pt idx="263">
                  <c:v>1175500</c:v>
                </c:pt>
                <c:pt idx="264">
                  <c:v>1654270</c:v>
                </c:pt>
                <c:pt idx="265">
                  <c:v>3934660</c:v>
                </c:pt>
                <c:pt idx="266">
                  <c:v>3429260</c:v>
                </c:pt>
                <c:pt idx="267">
                  <c:v>2231680</c:v>
                </c:pt>
                <c:pt idx="268">
                  <c:v>781250</c:v>
                </c:pt>
                <c:pt idx="269">
                  <c:v>21970</c:v>
                </c:pt>
                <c:pt idx="270">
                  <c:v>419340.00000000023</c:v>
                </c:pt>
                <c:pt idx="271">
                  <c:v>845860</c:v>
                </c:pt>
                <c:pt idx="272">
                  <c:v>1107250</c:v>
                </c:pt>
                <c:pt idx="273">
                  <c:v>1362110</c:v>
                </c:pt>
                <c:pt idx="274">
                  <c:v>1520572</c:v>
                </c:pt>
                <c:pt idx="275">
                  <c:v>1826028</c:v>
                </c:pt>
                <c:pt idx="276">
                  <c:v>2118764</c:v>
                </c:pt>
                <c:pt idx="277">
                  <c:v>2323813</c:v>
                </c:pt>
                <c:pt idx="278">
                  <c:v>2350291</c:v>
                </c:pt>
                <c:pt idx="279">
                  <c:v>2483700</c:v>
                </c:pt>
                <c:pt idx="280">
                  <c:v>2877534</c:v>
                </c:pt>
                <c:pt idx="281">
                  <c:v>3966410.0000000005</c:v>
                </c:pt>
                <c:pt idx="282">
                  <c:v>5757030</c:v>
                </c:pt>
                <c:pt idx="283">
                  <c:v>5025700</c:v>
                </c:pt>
                <c:pt idx="284">
                  <c:v>3163040</c:v>
                </c:pt>
                <c:pt idx="285">
                  <c:v>1523350</c:v>
                </c:pt>
                <c:pt idx="286">
                  <c:v>132760</c:v>
                </c:pt>
                <c:pt idx="287">
                  <c:v>710730</c:v>
                </c:pt>
                <c:pt idx="288">
                  <c:v>1163250</c:v>
                </c:pt>
                <c:pt idx="289">
                  <c:v>1436840</c:v>
                </c:pt>
                <c:pt idx="290">
                  <c:v>1737800</c:v>
                </c:pt>
                <c:pt idx="291">
                  <c:v>2013803</c:v>
                </c:pt>
                <c:pt idx="292">
                  <c:v>2391958</c:v>
                </c:pt>
                <c:pt idx="293">
                  <c:v>2060327</c:v>
                </c:pt>
                <c:pt idx="294">
                  <c:v>2073740</c:v>
                </c:pt>
                <c:pt idx="295">
                  <c:v>2306579</c:v>
                </c:pt>
                <c:pt idx="296">
                  <c:v>2580987</c:v>
                </c:pt>
                <c:pt idx="297">
                  <c:v>2552686</c:v>
                </c:pt>
                <c:pt idx="298">
                  <c:v>2495793</c:v>
                </c:pt>
                <c:pt idx="299">
                  <c:v>2639467</c:v>
                </c:pt>
                <c:pt idx="300">
                  <c:v>2120943</c:v>
                </c:pt>
                <c:pt idx="301">
                  <c:v>2204272</c:v>
                </c:pt>
                <c:pt idx="302">
                  <c:v>2350567</c:v>
                </c:pt>
                <c:pt idx="303">
                  <c:v>2569331</c:v>
                </c:pt>
                <c:pt idx="304">
                  <c:v>2665355</c:v>
                </c:pt>
                <c:pt idx="305">
                  <c:v>2785776</c:v>
                </c:pt>
                <c:pt idx="306">
                  <c:v>2807601</c:v>
                </c:pt>
                <c:pt idx="307">
                  <c:v>2845239</c:v>
                </c:pt>
                <c:pt idx="308">
                  <c:v>2875922</c:v>
                </c:pt>
                <c:pt idx="309">
                  <c:v>2932067</c:v>
                </c:pt>
                <c:pt idx="310">
                  <c:v>2538850</c:v>
                </c:pt>
                <c:pt idx="311">
                  <c:v>3001840</c:v>
                </c:pt>
                <c:pt idx="312">
                  <c:v>2177680</c:v>
                </c:pt>
                <c:pt idx="313">
                  <c:v>800130</c:v>
                </c:pt>
                <c:pt idx="314">
                  <c:v>1699880</c:v>
                </c:pt>
                <c:pt idx="315">
                  <c:v>987370.00000000047</c:v>
                </c:pt>
                <c:pt idx="316">
                  <c:v>32900</c:v>
                </c:pt>
                <c:pt idx="317">
                  <c:v>849040</c:v>
                </c:pt>
                <c:pt idx="318">
                  <c:v>1540490</c:v>
                </c:pt>
                <c:pt idx="319">
                  <c:v>1843450</c:v>
                </c:pt>
                <c:pt idx="320">
                  <c:v>2343860</c:v>
                </c:pt>
                <c:pt idx="321">
                  <c:v>3112369.9999999995</c:v>
                </c:pt>
                <c:pt idx="322">
                  <c:v>2889460</c:v>
                </c:pt>
                <c:pt idx="323">
                  <c:v>1721430</c:v>
                </c:pt>
                <c:pt idx="324">
                  <c:v>394470</c:v>
                </c:pt>
                <c:pt idx="325">
                  <c:v>793560</c:v>
                </c:pt>
                <c:pt idx="326">
                  <c:v>1390580</c:v>
                </c:pt>
                <c:pt idx="327">
                  <c:v>1752080</c:v>
                </c:pt>
                <c:pt idx="328">
                  <c:v>1967310.0000000005</c:v>
                </c:pt>
                <c:pt idx="329">
                  <c:v>2162050</c:v>
                </c:pt>
                <c:pt idx="330">
                  <c:v>2363180</c:v>
                </c:pt>
                <c:pt idx="331">
                  <c:v>1847320</c:v>
                </c:pt>
                <c:pt idx="332">
                  <c:v>1832570</c:v>
                </c:pt>
                <c:pt idx="333">
                  <c:v>2230825</c:v>
                </c:pt>
                <c:pt idx="334">
                  <c:v>2431759</c:v>
                </c:pt>
                <c:pt idx="335">
                  <c:v>2529848</c:v>
                </c:pt>
                <c:pt idx="336">
                  <c:v>2724221</c:v>
                </c:pt>
                <c:pt idx="337">
                  <c:v>2879500</c:v>
                </c:pt>
                <c:pt idx="338">
                  <c:v>2955922</c:v>
                </c:pt>
                <c:pt idx="339">
                  <c:v>2987288</c:v>
                </c:pt>
                <c:pt idx="340">
                  <c:v>3015056</c:v>
                </c:pt>
                <c:pt idx="341">
                  <c:v>3084815</c:v>
                </c:pt>
                <c:pt idx="342">
                  <c:v>3107850</c:v>
                </c:pt>
                <c:pt idx="343">
                  <c:v>3148823</c:v>
                </c:pt>
                <c:pt idx="344">
                  <c:v>3250817</c:v>
                </c:pt>
                <c:pt idx="345">
                  <c:v>565960</c:v>
                </c:pt>
                <c:pt idx="346">
                  <c:v>1056930</c:v>
                </c:pt>
                <c:pt idx="347">
                  <c:v>326560</c:v>
                </c:pt>
                <c:pt idx="348">
                  <c:v>289370</c:v>
                </c:pt>
                <c:pt idx="349">
                  <c:v>194730</c:v>
                </c:pt>
                <c:pt idx="350">
                  <c:v>164579.99999999953</c:v>
                </c:pt>
                <c:pt idx="351">
                  <c:v>711210</c:v>
                </c:pt>
                <c:pt idx="352">
                  <c:v>1467770</c:v>
                </c:pt>
                <c:pt idx="353">
                  <c:v>1564499.9999999995</c:v>
                </c:pt>
                <c:pt idx="354">
                  <c:v>1784340.0000000005</c:v>
                </c:pt>
                <c:pt idx="355">
                  <c:v>1734750</c:v>
                </c:pt>
                <c:pt idx="356">
                  <c:v>1473420</c:v>
                </c:pt>
                <c:pt idx="357">
                  <c:v>1712919.9999999995</c:v>
                </c:pt>
                <c:pt idx="358">
                  <c:v>2141070</c:v>
                </c:pt>
                <c:pt idx="359">
                  <c:v>2315401</c:v>
                </c:pt>
                <c:pt idx="360">
                  <c:v>2468482</c:v>
                </c:pt>
                <c:pt idx="361">
                  <c:v>2581408</c:v>
                </c:pt>
                <c:pt idx="362">
                  <c:v>2701733</c:v>
                </c:pt>
                <c:pt idx="363">
                  <c:v>2900636</c:v>
                </c:pt>
                <c:pt idx="364">
                  <c:v>2943964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4-4EF2-82DE-B83109C9C1FF}"/>
            </c:ext>
          </c:extLst>
        </c:ser>
        <c:ser>
          <c:idx val="1"/>
          <c:order val="1"/>
          <c:tx>
            <c:strRef>
              <c:f>Sheet1!$K$10</c:f>
              <c:strCache>
                <c:ptCount val="1"/>
                <c:pt idx="0">
                  <c:v>観測値-計算値: 調整前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Sheet1!$K$11:$K$375</c:f>
              <c:numCache>
                <c:formatCode>#,##0_);[Red]\(#,##0\)</c:formatCode>
                <c:ptCount val="365"/>
                <c:pt idx="0">
                  <c:v>3202000.0000000005</c:v>
                </c:pt>
                <c:pt idx="1">
                  <c:v>3202000.0000000005</c:v>
                </c:pt>
                <c:pt idx="2">
                  <c:v>3202000.0000000005</c:v>
                </c:pt>
                <c:pt idx="3">
                  <c:v>3179000</c:v>
                </c:pt>
                <c:pt idx="4">
                  <c:v>3140000</c:v>
                </c:pt>
                <c:pt idx="5">
                  <c:v>3150000</c:v>
                </c:pt>
                <c:pt idx="6">
                  <c:v>3197000</c:v>
                </c:pt>
                <c:pt idx="7">
                  <c:v>1990689.9999999995</c:v>
                </c:pt>
                <c:pt idx="8">
                  <c:v>2725240</c:v>
                </c:pt>
                <c:pt idx="9">
                  <c:v>2599024</c:v>
                </c:pt>
                <c:pt idx="10">
                  <c:v>2962919.9999999995</c:v>
                </c:pt>
                <c:pt idx="11">
                  <c:v>3036066</c:v>
                </c:pt>
                <c:pt idx="12">
                  <c:v>2396612</c:v>
                </c:pt>
                <c:pt idx="13">
                  <c:v>37916200</c:v>
                </c:pt>
                <c:pt idx="14">
                  <c:v>47020900</c:v>
                </c:pt>
                <c:pt idx="15">
                  <c:v>17662600</c:v>
                </c:pt>
                <c:pt idx="16">
                  <c:v>6574610</c:v>
                </c:pt>
                <c:pt idx="17">
                  <c:v>841760.00000000047</c:v>
                </c:pt>
                <c:pt idx="18">
                  <c:v>668550</c:v>
                </c:pt>
                <c:pt idx="19">
                  <c:v>2118280</c:v>
                </c:pt>
                <c:pt idx="20">
                  <c:v>2652510</c:v>
                </c:pt>
                <c:pt idx="21">
                  <c:v>2982646</c:v>
                </c:pt>
                <c:pt idx="22">
                  <c:v>12029200</c:v>
                </c:pt>
                <c:pt idx="23">
                  <c:v>6752700</c:v>
                </c:pt>
                <c:pt idx="24">
                  <c:v>3506850</c:v>
                </c:pt>
                <c:pt idx="25">
                  <c:v>554870</c:v>
                </c:pt>
                <c:pt idx="26">
                  <c:v>2014450</c:v>
                </c:pt>
                <c:pt idx="27">
                  <c:v>2653804</c:v>
                </c:pt>
                <c:pt idx="28">
                  <c:v>2885677</c:v>
                </c:pt>
                <c:pt idx="29">
                  <c:v>3111066</c:v>
                </c:pt>
                <c:pt idx="30">
                  <c:v>1652910.0000000005</c:v>
                </c:pt>
                <c:pt idx="31">
                  <c:v>2753158</c:v>
                </c:pt>
                <c:pt idx="32">
                  <c:v>3087739</c:v>
                </c:pt>
                <c:pt idx="33">
                  <c:v>3237141.4</c:v>
                </c:pt>
                <c:pt idx="34">
                  <c:v>3267458.1</c:v>
                </c:pt>
                <c:pt idx="35">
                  <c:v>3252895.0999999996</c:v>
                </c:pt>
                <c:pt idx="36">
                  <c:v>3255370.79</c:v>
                </c:pt>
                <c:pt idx="37">
                  <c:v>1916820</c:v>
                </c:pt>
                <c:pt idx="38">
                  <c:v>8246400</c:v>
                </c:pt>
                <c:pt idx="39">
                  <c:v>226580.00000000047</c:v>
                </c:pt>
                <c:pt idx="40">
                  <c:v>2340770</c:v>
                </c:pt>
                <c:pt idx="41">
                  <c:v>9876300</c:v>
                </c:pt>
                <c:pt idx="42">
                  <c:v>712729.99999999953</c:v>
                </c:pt>
                <c:pt idx="43">
                  <c:v>14017100</c:v>
                </c:pt>
                <c:pt idx="44">
                  <c:v>6408500</c:v>
                </c:pt>
                <c:pt idx="45">
                  <c:v>280090</c:v>
                </c:pt>
                <c:pt idx="46">
                  <c:v>2109700</c:v>
                </c:pt>
                <c:pt idx="47">
                  <c:v>2790760</c:v>
                </c:pt>
                <c:pt idx="48">
                  <c:v>3397555.9999999995</c:v>
                </c:pt>
                <c:pt idx="49">
                  <c:v>2706560.0000000009</c:v>
                </c:pt>
                <c:pt idx="50">
                  <c:v>25387200</c:v>
                </c:pt>
                <c:pt idx="51">
                  <c:v>11320499.999999998</c:v>
                </c:pt>
                <c:pt idx="52">
                  <c:v>101980</c:v>
                </c:pt>
                <c:pt idx="53">
                  <c:v>2493700</c:v>
                </c:pt>
                <c:pt idx="54">
                  <c:v>3338027</c:v>
                </c:pt>
                <c:pt idx="55">
                  <c:v>3096640.0000000005</c:v>
                </c:pt>
                <c:pt idx="56">
                  <c:v>699690</c:v>
                </c:pt>
                <c:pt idx="57">
                  <c:v>2336740</c:v>
                </c:pt>
                <c:pt idx="58">
                  <c:v>2857612</c:v>
                </c:pt>
                <c:pt idx="59">
                  <c:v>3383554</c:v>
                </c:pt>
                <c:pt idx="60">
                  <c:v>18594700</c:v>
                </c:pt>
                <c:pt idx="61">
                  <c:v>4537950</c:v>
                </c:pt>
                <c:pt idx="62">
                  <c:v>78250</c:v>
                </c:pt>
                <c:pt idx="63">
                  <c:v>1751650</c:v>
                </c:pt>
                <c:pt idx="64">
                  <c:v>2516921</c:v>
                </c:pt>
                <c:pt idx="65">
                  <c:v>2905054.0000000005</c:v>
                </c:pt>
                <c:pt idx="66">
                  <c:v>3123917</c:v>
                </c:pt>
                <c:pt idx="67">
                  <c:v>3197195.1</c:v>
                </c:pt>
                <c:pt idx="68">
                  <c:v>7286200</c:v>
                </c:pt>
                <c:pt idx="69">
                  <c:v>121550</c:v>
                </c:pt>
                <c:pt idx="70">
                  <c:v>2072269.9999999995</c:v>
                </c:pt>
                <c:pt idx="71">
                  <c:v>9545200</c:v>
                </c:pt>
                <c:pt idx="72">
                  <c:v>790050</c:v>
                </c:pt>
                <c:pt idx="73">
                  <c:v>1485040</c:v>
                </c:pt>
                <c:pt idx="74">
                  <c:v>2530567</c:v>
                </c:pt>
                <c:pt idx="75">
                  <c:v>3022382.0000000005</c:v>
                </c:pt>
                <c:pt idx="76">
                  <c:v>10889100</c:v>
                </c:pt>
                <c:pt idx="77">
                  <c:v>6602430</c:v>
                </c:pt>
                <c:pt idx="78">
                  <c:v>332830</c:v>
                </c:pt>
                <c:pt idx="79">
                  <c:v>2924210</c:v>
                </c:pt>
                <c:pt idx="80">
                  <c:v>43178700</c:v>
                </c:pt>
                <c:pt idx="81">
                  <c:v>15729500</c:v>
                </c:pt>
                <c:pt idx="82">
                  <c:v>36747500</c:v>
                </c:pt>
                <c:pt idx="83">
                  <c:v>14135100</c:v>
                </c:pt>
                <c:pt idx="84">
                  <c:v>2331039.9999999991</c:v>
                </c:pt>
                <c:pt idx="85">
                  <c:v>19988900</c:v>
                </c:pt>
                <c:pt idx="86">
                  <c:v>2515880</c:v>
                </c:pt>
                <c:pt idx="87">
                  <c:v>1210020</c:v>
                </c:pt>
                <c:pt idx="88">
                  <c:v>2616800</c:v>
                </c:pt>
                <c:pt idx="89">
                  <c:v>3110308</c:v>
                </c:pt>
                <c:pt idx="90">
                  <c:v>3246657</c:v>
                </c:pt>
                <c:pt idx="91">
                  <c:v>3206582</c:v>
                </c:pt>
                <c:pt idx="92">
                  <c:v>3199905.9</c:v>
                </c:pt>
                <c:pt idx="93">
                  <c:v>3474026.2</c:v>
                </c:pt>
                <c:pt idx="94">
                  <c:v>3349976.5</c:v>
                </c:pt>
                <c:pt idx="95">
                  <c:v>13824800</c:v>
                </c:pt>
                <c:pt idx="96">
                  <c:v>11050000</c:v>
                </c:pt>
                <c:pt idx="97">
                  <c:v>34818700</c:v>
                </c:pt>
                <c:pt idx="98">
                  <c:v>11251600</c:v>
                </c:pt>
                <c:pt idx="99">
                  <c:v>2131070.0000000005</c:v>
                </c:pt>
                <c:pt idx="100">
                  <c:v>1251070.0000000005</c:v>
                </c:pt>
                <c:pt idx="101">
                  <c:v>3275010</c:v>
                </c:pt>
                <c:pt idx="102">
                  <c:v>26307600</c:v>
                </c:pt>
                <c:pt idx="103">
                  <c:v>7148300</c:v>
                </c:pt>
                <c:pt idx="104">
                  <c:v>25030800</c:v>
                </c:pt>
                <c:pt idx="105">
                  <c:v>32831900</c:v>
                </c:pt>
                <c:pt idx="106">
                  <c:v>10092500</c:v>
                </c:pt>
                <c:pt idx="107">
                  <c:v>552510</c:v>
                </c:pt>
                <c:pt idx="108">
                  <c:v>2880930</c:v>
                </c:pt>
                <c:pt idx="109">
                  <c:v>293020</c:v>
                </c:pt>
                <c:pt idx="110">
                  <c:v>2556840</c:v>
                </c:pt>
                <c:pt idx="111">
                  <c:v>3975990</c:v>
                </c:pt>
                <c:pt idx="112">
                  <c:v>4375327</c:v>
                </c:pt>
                <c:pt idx="113">
                  <c:v>4703253</c:v>
                </c:pt>
                <c:pt idx="114">
                  <c:v>4912789.2</c:v>
                </c:pt>
                <c:pt idx="115">
                  <c:v>40735800</c:v>
                </c:pt>
                <c:pt idx="116">
                  <c:v>20964500</c:v>
                </c:pt>
                <c:pt idx="117">
                  <c:v>4562820</c:v>
                </c:pt>
                <c:pt idx="118">
                  <c:v>3776229.9999999986</c:v>
                </c:pt>
                <c:pt idx="119">
                  <c:v>87334000</c:v>
                </c:pt>
                <c:pt idx="120">
                  <c:v>34820000</c:v>
                </c:pt>
                <c:pt idx="121">
                  <c:v>10373600</c:v>
                </c:pt>
                <c:pt idx="122">
                  <c:v>805120</c:v>
                </c:pt>
                <c:pt idx="123">
                  <c:v>2952710</c:v>
                </c:pt>
                <c:pt idx="124">
                  <c:v>3603300</c:v>
                </c:pt>
                <c:pt idx="125">
                  <c:v>7097310</c:v>
                </c:pt>
                <c:pt idx="126">
                  <c:v>19379000</c:v>
                </c:pt>
                <c:pt idx="127">
                  <c:v>93739000</c:v>
                </c:pt>
                <c:pt idx="128">
                  <c:v>40625200</c:v>
                </c:pt>
                <c:pt idx="129">
                  <c:v>13229800</c:v>
                </c:pt>
                <c:pt idx="130">
                  <c:v>805860</c:v>
                </c:pt>
                <c:pt idx="131">
                  <c:v>1040530</c:v>
                </c:pt>
                <c:pt idx="132">
                  <c:v>5255660</c:v>
                </c:pt>
                <c:pt idx="133">
                  <c:v>19640100</c:v>
                </c:pt>
                <c:pt idx="134">
                  <c:v>3708360</c:v>
                </c:pt>
                <c:pt idx="135">
                  <c:v>1661160</c:v>
                </c:pt>
                <c:pt idx="136">
                  <c:v>3813150</c:v>
                </c:pt>
                <c:pt idx="137">
                  <c:v>4570527</c:v>
                </c:pt>
                <c:pt idx="138">
                  <c:v>2340210</c:v>
                </c:pt>
                <c:pt idx="139">
                  <c:v>24774300</c:v>
                </c:pt>
                <c:pt idx="140">
                  <c:v>6495100</c:v>
                </c:pt>
                <c:pt idx="141">
                  <c:v>274770</c:v>
                </c:pt>
                <c:pt idx="142">
                  <c:v>2483850</c:v>
                </c:pt>
                <c:pt idx="143">
                  <c:v>3408191</c:v>
                </c:pt>
                <c:pt idx="144">
                  <c:v>3678244.0000000005</c:v>
                </c:pt>
                <c:pt idx="145">
                  <c:v>3909772</c:v>
                </c:pt>
                <c:pt idx="146">
                  <c:v>3893793.9999999995</c:v>
                </c:pt>
                <c:pt idx="147">
                  <c:v>3857918.8</c:v>
                </c:pt>
                <c:pt idx="148">
                  <c:v>4268087.0999999996</c:v>
                </c:pt>
                <c:pt idx="149">
                  <c:v>7672714</c:v>
                </c:pt>
                <c:pt idx="150">
                  <c:v>22946000</c:v>
                </c:pt>
                <c:pt idx="151">
                  <c:v>63526600</c:v>
                </c:pt>
                <c:pt idx="152">
                  <c:v>30566000</c:v>
                </c:pt>
                <c:pt idx="153">
                  <c:v>10175800</c:v>
                </c:pt>
                <c:pt idx="154">
                  <c:v>4306100</c:v>
                </c:pt>
                <c:pt idx="155">
                  <c:v>3691740</c:v>
                </c:pt>
                <c:pt idx="156">
                  <c:v>8495140</c:v>
                </c:pt>
                <c:pt idx="157">
                  <c:v>28032900</c:v>
                </c:pt>
                <c:pt idx="158">
                  <c:v>1003800</c:v>
                </c:pt>
                <c:pt idx="159">
                  <c:v>26443300</c:v>
                </c:pt>
                <c:pt idx="160">
                  <c:v>5178100</c:v>
                </c:pt>
                <c:pt idx="161">
                  <c:v>164350</c:v>
                </c:pt>
                <c:pt idx="162">
                  <c:v>3238300.0000000009</c:v>
                </c:pt>
                <c:pt idx="163">
                  <c:v>4691520</c:v>
                </c:pt>
                <c:pt idx="164">
                  <c:v>4817034</c:v>
                </c:pt>
                <c:pt idx="165">
                  <c:v>5567349</c:v>
                </c:pt>
                <c:pt idx="166">
                  <c:v>1894990.0000000009</c:v>
                </c:pt>
                <c:pt idx="167">
                  <c:v>4423950</c:v>
                </c:pt>
                <c:pt idx="168">
                  <c:v>4895049</c:v>
                </c:pt>
                <c:pt idx="169">
                  <c:v>4995242</c:v>
                </c:pt>
                <c:pt idx="170">
                  <c:v>4727335</c:v>
                </c:pt>
                <c:pt idx="171">
                  <c:v>5639689</c:v>
                </c:pt>
                <c:pt idx="172">
                  <c:v>37410500</c:v>
                </c:pt>
                <c:pt idx="173">
                  <c:v>13793900</c:v>
                </c:pt>
                <c:pt idx="174">
                  <c:v>3494840</c:v>
                </c:pt>
                <c:pt idx="175">
                  <c:v>419550</c:v>
                </c:pt>
                <c:pt idx="176">
                  <c:v>49482200</c:v>
                </c:pt>
                <c:pt idx="177">
                  <c:v>24293400</c:v>
                </c:pt>
                <c:pt idx="178">
                  <c:v>41062700</c:v>
                </c:pt>
                <c:pt idx="179">
                  <c:v>15510400</c:v>
                </c:pt>
                <c:pt idx="180">
                  <c:v>104548100</c:v>
                </c:pt>
                <c:pt idx="181">
                  <c:v>28811000</c:v>
                </c:pt>
                <c:pt idx="182">
                  <c:v>85535000</c:v>
                </c:pt>
                <c:pt idx="183">
                  <c:v>71742000</c:v>
                </c:pt>
                <c:pt idx="184">
                  <c:v>319317000</c:v>
                </c:pt>
                <c:pt idx="185">
                  <c:v>117599000</c:v>
                </c:pt>
                <c:pt idx="186">
                  <c:v>63112700</c:v>
                </c:pt>
                <c:pt idx="187">
                  <c:v>1228900</c:v>
                </c:pt>
                <c:pt idx="188">
                  <c:v>27797200</c:v>
                </c:pt>
                <c:pt idx="189">
                  <c:v>62174700</c:v>
                </c:pt>
                <c:pt idx="190">
                  <c:v>70963999.99999997</c:v>
                </c:pt>
                <c:pt idx="191">
                  <c:v>260356000</c:v>
                </c:pt>
                <c:pt idx="192">
                  <c:v>111709000</c:v>
                </c:pt>
                <c:pt idx="193">
                  <c:v>158802000</c:v>
                </c:pt>
                <c:pt idx="194">
                  <c:v>71030200</c:v>
                </c:pt>
                <c:pt idx="195">
                  <c:v>23147300</c:v>
                </c:pt>
                <c:pt idx="196">
                  <c:v>12819100</c:v>
                </c:pt>
                <c:pt idx="197">
                  <c:v>2696180</c:v>
                </c:pt>
                <c:pt idx="198">
                  <c:v>7024580</c:v>
                </c:pt>
                <c:pt idx="199">
                  <c:v>7016380</c:v>
                </c:pt>
                <c:pt idx="200">
                  <c:v>19513800</c:v>
                </c:pt>
                <c:pt idx="201">
                  <c:v>2396600</c:v>
                </c:pt>
                <c:pt idx="202">
                  <c:v>4154010</c:v>
                </c:pt>
                <c:pt idx="203">
                  <c:v>5263350</c:v>
                </c:pt>
                <c:pt idx="204">
                  <c:v>7064650.9999999991</c:v>
                </c:pt>
                <c:pt idx="205">
                  <c:v>8438160</c:v>
                </c:pt>
                <c:pt idx="206">
                  <c:v>8335917</c:v>
                </c:pt>
                <c:pt idx="207">
                  <c:v>5866502</c:v>
                </c:pt>
                <c:pt idx="208">
                  <c:v>5461803</c:v>
                </c:pt>
                <c:pt idx="209">
                  <c:v>4921107</c:v>
                </c:pt>
                <c:pt idx="210">
                  <c:v>5267957.5</c:v>
                </c:pt>
                <c:pt idx="211">
                  <c:v>4993466.7</c:v>
                </c:pt>
                <c:pt idx="212">
                  <c:v>4645935.9000000004</c:v>
                </c:pt>
                <c:pt idx="213">
                  <c:v>4317230.79</c:v>
                </c:pt>
                <c:pt idx="214">
                  <c:v>3973719.7400000007</c:v>
                </c:pt>
                <c:pt idx="215">
                  <c:v>2407629.9999999995</c:v>
                </c:pt>
                <c:pt idx="216">
                  <c:v>3201670</c:v>
                </c:pt>
                <c:pt idx="217">
                  <c:v>3303630</c:v>
                </c:pt>
                <c:pt idx="218">
                  <c:v>3982924.1</c:v>
                </c:pt>
                <c:pt idx="219">
                  <c:v>4585774.4000000004</c:v>
                </c:pt>
                <c:pt idx="220">
                  <c:v>10197590</c:v>
                </c:pt>
                <c:pt idx="221">
                  <c:v>44760100</c:v>
                </c:pt>
                <c:pt idx="222">
                  <c:v>49267700</c:v>
                </c:pt>
                <c:pt idx="223">
                  <c:v>17268400</c:v>
                </c:pt>
                <c:pt idx="224">
                  <c:v>4477260</c:v>
                </c:pt>
                <c:pt idx="225">
                  <c:v>24410</c:v>
                </c:pt>
                <c:pt idx="226">
                  <c:v>1794910</c:v>
                </c:pt>
                <c:pt idx="227">
                  <c:v>2744218.0000000005</c:v>
                </c:pt>
                <c:pt idx="228">
                  <c:v>6624543</c:v>
                </c:pt>
                <c:pt idx="229">
                  <c:v>20749100</c:v>
                </c:pt>
                <c:pt idx="230">
                  <c:v>10407500</c:v>
                </c:pt>
                <c:pt idx="231">
                  <c:v>527750.00000000047</c:v>
                </c:pt>
                <c:pt idx="232">
                  <c:v>1825730</c:v>
                </c:pt>
                <c:pt idx="233">
                  <c:v>1010700.0000000005</c:v>
                </c:pt>
                <c:pt idx="234">
                  <c:v>2799251</c:v>
                </c:pt>
                <c:pt idx="235">
                  <c:v>3195937.0000000005</c:v>
                </c:pt>
                <c:pt idx="236">
                  <c:v>4968754</c:v>
                </c:pt>
                <c:pt idx="237">
                  <c:v>3879122.5</c:v>
                </c:pt>
                <c:pt idx="238">
                  <c:v>4276784</c:v>
                </c:pt>
                <c:pt idx="239">
                  <c:v>7157700</c:v>
                </c:pt>
                <c:pt idx="240">
                  <c:v>984900</c:v>
                </c:pt>
                <c:pt idx="241">
                  <c:v>1941140</c:v>
                </c:pt>
                <c:pt idx="242">
                  <c:v>435450</c:v>
                </c:pt>
                <c:pt idx="243">
                  <c:v>2832519.9999999995</c:v>
                </c:pt>
                <c:pt idx="244">
                  <c:v>6725300</c:v>
                </c:pt>
                <c:pt idx="245">
                  <c:v>13130</c:v>
                </c:pt>
                <c:pt idx="246">
                  <c:v>1639470</c:v>
                </c:pt>
                <c:pt idx="247">
                  <c:v>2250402</c:v>
                </c:pt>
                <c:pt idx="248">
                  <c:v>10696600</c:v>
                </c:pt>
                <c:pt idx="249">
                  <c:v>2026610</c:v>
                </c:pt>
                <c:pt idx="250">
                  <c:v>816940</c:v>
                </c:pt>
                <c:pt idx="251">
                  <c:v>1812668</c:v>
                </c:pt>
                <c:pt idx="252">
                  <c:v>2446757</c:v>
                </c:pt>
                <c:pt idx="253">
                  <c:v>4548890</c:v>
                </c:pt>
                <c:pt idx="254">
                  <c:v>919610</c:v>
                </c:pt>
                <c:pt idx="255">
                  <c:v>1834010</c:v>
                </c:pt>
                <c:pt idx="256">
                  <c:v>1876340</c:v>
                </c:pt>
                <c:pt idx="257">
                  <c:v>23587900</c:v>
                </c:pt>
                <c:pt idx="258">
                  <c:v>8451900</c:v>
                </c:pt>
                <c:pt idx="259">
                  <c:v>1733430</c:v>
                </c:pt>
                <c:pt idx="260">
                  <c:v>9813700</c:v>
                </c:pt>
                <c:pt idx="261">
                  <c:v>3713310</c:v>
                </c:pt>
                <c:pt idx="262">
                  <c:v>1386970</c:v>
                </c:pt>
                <c:pt idx="263">
                  <c:v>1178160</c:v>
                </c:pt>
                <c:pt idx="264">
                  <c:v>5408660</c:v>
                </c:pt>
                <c:pt idx="265">
                  <c:v>13209600</c:v>
                </c:pt>
                <c:pt idx="266">
                  <c:v>2568860</c:v>
                </c:pt>
                <c:pt idx="267">
                  <c:v>292790</c:v>
                </c:pt>
                <c:pt idx="268">
                  <c:v>1638260</c:v>
                </c:pt>
                <c:pt idx="269">
                  <c:v>2108359</c:v>
                </c:pt>
                <c:pt idx="270">
                  <c:v>2279733</c:v>
                </c:pt>
                <c:pt idx="271">
                  <c:v>2445958</c:v>
                </c:pt>
                <c:pt idx="272">
                  <c:v>2461761.1</c:v>
                </c:pt>
                <c:pt idx="273">
                  <c:v>2497613.5</c:v>
                </c:pt>
                <c:pt idx="274">
                  <c:v>2469623.7999999998</c:v>
                </c:pt>
                <c:pt idx="275">
                  <c:v>2614954.58</c:v>
                </c:pt>
                <c:pt idx="276">
                  <c:v>2774983.28</c:v>
                </c:pt>
                <c:pt idx="277">
                  <c:v>2868523.51</c:v>
                </c:pt>
                <c:pt idx="278">
                  <c:v>2800277.031</c:v>
                </c:pt>
                <c:pt idx="279">
                  <c:v>2854645.8990000002</c:v>
                </c:pt>
                <c:pt idx="280">
                  <c:v>3184826.5359999998</c:v>
                </c:pt>
                <c:pt idx="281">
                  <c:v>30274400</c:v>
                </c:pt>
                <c:pt idx="282">
                  <c:v>13600300</c:v>
                </c:pt>
                <c:pt idx="283">
                  <c:v>3293330</c:v>
                </c:pt>
                <c:pt idx="284">
                  <c:v>317930</c:v>
                </c:pt>
                <c:pt idx="285">
                  <c:v>1733920</c:v>
                </c:pt>
                <c:pt idx="286">
                  <c:v>2347294</c:v>
                </c:pt>
                <c:pt idx="287">
                  <c:v>2628216</c:v>
                </c:pt>
                <c:pt idx="288">
                  <c:v>2744094</c:v>
                </c:pt>
                <c:pt idx="289">
                  <c:v>2757659.7</c:v>
                </c:pt>
                <c:pt idx="290">
                  <c:v>2840692.3</c:v>
                </c:pt>
                <c:pt idx="291">
                  <c:v>2930716.9</c:v>
                </c:pt>
                <c:pt idx="292">
                  <c:v>3151024.61</c:v>
                </c:pt>
                <c:pt idx="293">
                  <c:v>1509820</c:v>
                </c:pt>
                <c:pt idx="294">
                  <c:v>2483779</c:v>
                </c:pt>
                <c:pt idx="295">
                  <c:v>2744193</c:v>
                </c:pt>
                <c:pt idx="296">
                  <c:v>2989710</c:v>
                </c:pt>
                <c:pt idx="297">
                  <c:v>2912669.5</c:v>
                </c:pt>
                <c:pt idx="298">
                  <c:v>2803466.6</c:v>
                </c:pt>
                <c:pt idx="299">
                  <c:v>2898140.16</c:v>
                </c:pt>
                <c:pt idx="300">
                  <c:v>24810</c:v>
                </c:pt>
                <c:pt idx="301">
                  <c:v>2293280</c:v>
                </c:pt>
                <c:pt idx="302">
                  <c:v>2513010</c:v>
                </c:pt>
                <c:pt idx="303">
                  <c:v>2800727</c:v>
                </c:pt>
                <c:pt idx="304">
                  <c:v>2903490</c:v>
                </c:pt>
                <c:pt idx="305">
                  <c:v>3005007.2</c:v>
                </c:pt>
                <c:pt idx="306">
                  <c:v>2999316.7</c:v>
                </c:pt>
                <c:pt idx="307">
                  <c:v>3008468.1</c:v>
                </c:pt>
                <c:pt idx="308">
                  <c:v>3012859.25</c:v>
                </c:pt>
                <c:pt idx="309">
                  <c:v>3045983</c:v>
                </c:pt>
                <c:pt idx="310">
                  <c:v>23104500</c:v>
                </c:pt>
                <c:pt idx="311">
                  <c:v>6401360</c:v>
                </c:pt>
                <c:pt idx="312">
                  <c:v>704050</c:v>
                </c:pt>
                <c:pt idx="313">
                  <c:v>1398170</c:v>
                </c:pt>
                <c:pt idx="314">
                  <c:v>8141200</c:v>
                </c:pt>
                <c:pt idx="315">
                  <c:v>312230</c:v>
                </c:pt>
                <c:pt idx="316">
                  <c:v>1657430</c:v>
                </c:pt>
                <c:pt idx="317">
                  <c:v>2394894</c:v>
                </c:pt>
                <c:pt idx="318">
                  <c:v>2962636</c:v>
                </c:pt>
                <c:pt idx="319">
                  <c:v>3103870</c:v>
                </c:pt>
                <c:pt idx="320">
                  <c:v>18373000</c:v>
                </c:pt>
                <c:pt idx="321">
                  <c:v>6491090</c:v>
                </c:pt>
                <c:pt idx="322">
                  <c:v>3482160</c:v>
                </c:pt>
                <c:pt idx="323">
                  <c:v>548880</c:v>
                </c:pt>
                <c:pt idx="324">
                  <c:v>1932010</c:v>
                </c:pt>
                <c:pt idx="325">
                  <c:v>2704959</c:v>
                </c:pt>
                <c:pt idx="326">
                  <c:v>3030927</c:v>
                </c:pt>
                <c:pt idx="327">
                  <c:v>3158985</c:v>
                </c:pt>
                <c:pt idx="328">
                  <c:v>3163584.1000000006</c:v>
                </c:pt>
                <c:pt idx="329">
                  <c:v>3169632.6</c:v>
                </c:pt>
                <c:pt idx="330">
                  <c:v>3204672.9</c:v>
                </c:pt>
                <c:pt idx="331">
                  <c:v>404430</c:v>
                </c:pt>
                <c:pt idx="332">
                  <c:v>2129720</c:v>
                </c:pt>
                <c:pt idx="333">
                  <c:v>2734932</c:v>
                </c:pt>
                <c:pt idx="334">
                  <c:v>2974204</c:v>
                </c:pt>
                <c:pt idx="335">
                  <c:v>3042827</c:v>
                </c:pt>
                <c:pt idx="336">
                  <c:v>3179781.4</c:v>
                </c:pt>
                <c:pt idx="337">
                  <c:v>3270926.8</c:v>
                </c:pt>
                <c:pt idx="338">
                  <c:v>3285860.3</c:v>
                </c:pt>
                <c:pt idx="339">
                  <c:v>3262591.38</c:v>
                </c:pt>
                <c:pt idx="340">
                  <c:v>3244364.73</c:v>
                </c:pt>
                <c:pt idx="341">
                  <c:v>3274713.2</c:v>
                </c:pt>
                <c:pt idx="342">
                  <c:v>3264370.8160000001</c:v>
                </c:pt>
                <c:pt idx="343">
                  <c:v>3277692.1039999998</c:v>
                </c:pt>
                <c:pt idx="344">
                  <c:v>3356849.2519999999</c:v>
                </c:pt>
                <c:pt idx="345">
                  <c:v>15235700</c:v>
                </c:pt>
                <c:pt idx="346">
                  <c:v>2883940</c:v>
                </c:pt>
                <c:pt idx="347">
                  <c:v>715360</c:v>
                </c:pt>
                <c:pt idx="348">
                  <c:v>3076710</c:v>
                </c:pt>
                <c:pt idx="349">
                  <c:v>286370</c:v>
                </c:pt>
                <c:pt idx="350">
                  <c:v>1906970.0000000005</c:v>
                </c:pt>
                <c:pt idx="351">
                  <c:v>1481330</c:v>
                </c:pt>
                <c:pt idx="352">
                  <c:v>2531486</c:v>
                </c:pt>
                <c:pt idx="353">
                  <c:v>1482189.9999999995</c:v>
                </c:pt>
                <c:pt idx="354">
                  <c:v>2688578.0000000005</c:v>
                </c:pt>
                <c:pt idx="355">
                  <c:v>1463110</c:v>
                </c:pt>
                <c:pt idx="356">
                  <c:v>421540</c:v>
                </c:pt>
                <c:pt idx="357">
                  <c:v>2275809.9999999995</c:v>
                </c:pt>
                <c:pt idx="358">
                  <c:v>2830777</c:v>
                </c:pt>
                <c:pt idx="359">
                  <c:v>3000343</c:v>
                </c:pt>
                <c:pt idx="360">
                  <c:v>3094061</c:v>
                </c:pt>
                <c:pt idx="361">
                  <c:v>3126260.8</c:v>
                </c:pt>
                <c:pt idx="362">
                  <c:v>3163953</c:v>
                </c:pt>
                <c:pt idx="363">
                  <c:v>3287298.57</c:v>
                </c:pt>
                <c:pt idx="364">
                  <c:v>3266282.77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4-4EF2-82DE-B83109C9C1FF}"/>
            </c:ext>
          </c:extLst>
        </c:ser>
        <c:ser>
          <c:idx val="2"/>
          <c:order val="2"/>
          <c:tx>
            <c:strRef>
              <c:f>Sheet1!$L$10</c:f>
              <c:strCache>
                <c:ptCount val="1"/>
                <c:pt idx="0">
                  <c:v>観測値-計算値: 調整後_min2.5M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Sheet1!$L$11:$L$375</c:f>
              <c:numCache>
                <c:formatCode>#,##0_);[Red]\(#,##0\)</c:formatCode>
                <c:ptCount val="365"/>
                <c:pt idx="0">
                  <c:v>702000.00000000047</c:v>
                </c:pt>
                <c:pt idx="1">
                  <c:v>702000.00000000047</c:v>
                </c:pt>
                <c:pt idx="2">
                  <c:v>702000.00000000047</c:v>
                </c:pt>
                <c:pt idx="3">
                  <c:v>679000</c:v>
                </c:pt>
                <c:pt idx="4">
                  <c:v>640000</c:v>
                </c:pt>
                <c:pt idx="5">
                  <c:v>650000</c:v>
                </c:pt>
                <c:pt idx="6">
                  <c:v>697000</c:v>
                </c:pt>
                <c:pt idx="7">
                  <c:v>720000.00000000047</c:v>
                </c:pt>
                <c:pt idx="8">
                  <c:v>2081920</c:v>
                </c:pt>
                <c:pt idx="9">
                  <c:v>768000</c:v>
                </c:pt>
                <c:pt idx="10">
                  <c:v>761999.99999999953</c:v>
                </c:pt>
                <c:pt idx="11">
                  <c:v>674000</c:v>
                </c:pt>
                <c:pt idx="12">
                  <c:v>706000</c:v>
                </c:pt>
                <c:pt idx="13">
                  <c:v>3113190</c:v>
                </c:pt>
                <c:pt idx="14">
                  <c:v>10945200</c:v>
                </c:pt>
                <c:pt idx="15">
                  <c:v>14387500</c:v>
                </c:pt>
                <c:pt idx="16">
                  <c:v>13265299.999999998</c:v>
                </c:pt>
                <c:pt idx="17">
                  <c:v>6178180</c:v>
                </c:pt>
                <c:pt idx="18">
                  <c:v>8586800</c:v>
                </c:pt>
                <c:pt idx="19">
                  <c:v>2084150</c:v>
                </c:pt>
                <c:pt idx="20">
                  <c:v>4975930</c:v>
                </c:pt>
                <c:pt idx="21">
                  <c:v>731000</c:v>
                </c:pt>
                <c:pt idx="22">
                  <c:v>1258870.0000000005</c:v>
                </c:pt>
                <c:pt idx="23">
                  <c:v>1903050</c:v>
                </c:pt>
                <c:pt idx="24">
                  <c:v>6337370</c:v>
                </c:pt>
                <c:pt idx="25">
                  <c:v>607500</c:v>
                </c:pt>
                <c:pt idx="26">
                  <c:v>597760</c:v>
                </c:pt>
                <c:pt idx="27">
                  <c:v>3108420</c:v>
                </c:pt>
                <c:pt idx="28">
                  <c:v>643000</c:v>
                </c:pt>
                <c:pt idx="29">
                  <c:v>736000</c:v>
                </c:pt>
                <c:pt idx="30">
                  <c:v>702000.00000000047</c:v>
                </c:pt>
                <c:pt idx="31">
                  <c:v>726000</c:v>
                </c:pt>
                <c:pt idx="32">
                  <c:v>792000</c:v>
                </c:pt>
                <c:pt idx="33">
                  <c:v>829000</c:v>
                </c:pt>
                <c:pt idx="34">
                  <c:v>1657890</c:v>
                </c:pt>
                <c:pt idx="35">
                  <c:v>772999.99999999953</c:v>
                </c:pt>
                <c:pt idx="36">
                  <c:v>765000</c:v>
                </c:pt>
                <c:pt idx="37">
                  <c:v>1543000</c:v>
                </c:pt>
                <c:pt idx="38">
                  <c:v>552500</c:v>
                </c:pt>
                <c:pt idx="39">
                  <c:v>1087479.9999999995</c:v>
                </c:pt>
                <c:pt idx="40">
                  <c:v>1558000</c:v>
                </c:pt>
                <c:pt idx="41">
                  <c:v>217460.00000000047</c:v>
                </c:pt>
                <c:pt idx="42">
                  <c:v>4091270</c:v>
                </c:pt>
                <c:pt idx="43">
                  <c:v>388230</c:v>
                </c:pt>
                <c:pt idx="44">
                  <c:v>861690</c:v>
                </c:pt>
                <c:pt idx="45">
                  <c:v>4510380</c:v>
                </c:pt>
                <c:pt idx="46">
                  <c:v>680450</c:v>
                </c:pt>
                <c:pt idx="47">
                  <c:v>1146000</c:v>
                </c:pt>
                <c:pt idx="48">
                  <c:v>1304999.9999999995</c:v>
                </c:pt>
                <c:pt idx="49">
                  <c:v>3352909.9999999991</c:v>
                </c:pt>
                <c:pt idx="50">
                  <c:v>6689600</c:v>
                </c:pt>
                <c:pt idx="51">
                  <c:v>1937560</c:v>
                </c:pt>
                <c:pt idx="52">
                  <c:v>5936600</c:v>
                </c:pt>
                <c:pt idx="53">
                  <c:v>58780</c:v>
                </c:pt>
                <c:pt idx="54">
                  <c:v>1181660</c:v>
                </c:pt>
                <c:pt idx="55">
                  <c:v>3863480.0000000005</c:v>
                </c:pt>
                <c:pt idx="56">
                  <c:v>841760</c:v>
                </c:pt>
                <c:pt idx="57">
                  <c:v>1040000</c:v>
                </c:pt>
                <c:pt idx="58">
                  <c:v>896000</c:v>
                </c:pt>
                <c:pt idx="59">
                  <c:v>2010650</c:v>
                </c:pt>
                <c:pt idx="60">
                  <c:v>1731150</c:v>
                </c:pt>
                <c:pt idx="61">
                  <c:v>1462450.0000000005</c:v>
                </c:pt>
                <c:pt idx="62">
                  <c:v>807830</c:v>
                </c:pt>
                <c:pt idx="63">
                  <c:v>4214370</c:v>
                </c:pt>
                <c:pt idx="64">
                  <c:v>653000</c:v>
                </c:pt>
                <c:pt idx="65">
                  <c:v>702000.00000000047</c:v>
                </c:pt>
                <c:pt idx="66">
                  <c:v>765000</c:v>
                </c:pt>
                <c:pt idx="67">
                  <c:v>765000</c:v>
                </c:pt>
                <c:pt idx="68">
                  <c:v>334950</c:v>
                </c:pt>
                <c:pt idx="69">
                  <c:v>3607520</c:v>
                </c:pt>
                <c:pt idx="70">
                  <c:v>922999.99999999953</c:v>
                </c:pt>
                <c:pt idx="71">
                  <c:v>29460</c:v>
                </c:pt>
                <c:pt idx="72">
                  <c:v>235999.99999999953</c:v>
                </c:pt>
                <c:pt idx="73">
                  <c:v>760000</c:v>
                </c:pt>
                <c:pt idx="74">
                  <c:v>2596460</c:v>
                </c:pt>
                <c:pt idx="75">
                  <c:v>895000.00000000047</c:v>
                </c:pt>
                <c:pt idx="76">
                  <c:v>248560</c:v>
                </c:pt>
                <c:pt idx="77">
                  <c:v>1223970</c:v>
                </c:pt>
                <c:pt idx="78">
                  <c:v>376740</c:v>
                </c:pt>
                <c:pt idx="79">
                  <c:v>1988220</c:v>
                </c:pt>
                <c:pt idx="80">
                  <c:v>5008100</c:v>
                </c:pt>
                <c:pt idx="81">
                  <c:v>9447100</c:v>
                </c:pt>
                <c:pt idx="82">
                  <c:v>11480700</c:v>
                </c:pt>
                <c:pt idx="83">
                  <c:v>13504300</c:v>
                </c:pt>
                <c:pt idx="84">
                  <c:v>9460000</c:v>
                </c:pt>
                <c:pt idx="85">
                  <c:v>7050600</c:v>
                </c:pt>
                <c:pt idx="86">
                  <c:v>10209700</c:v>
                </c:pt>
                <c:pt idx="87">
                  <c:v>8550400</c:v>
                </c:pt>
                <c:pt idx="88">
                  <c:v>2281990</c:v>
                </c:pt>
                <c:pt idx="89">
                  <c:v>5295200</c:v>
                </c:pt>
                <c:pt idx="90">
                  <c:v>465080</c:v>
                </c:pt>
                <c:pt idx="91">
                  <c:v>864000</c:v>
                </c:pt>
                <c:pt idx="92">
                  <c:v>2944710</c:v>
                </c:pt>
                <c:pt idx="93">
                  <c:v>1011000</c:v>
                </c:pt>
                <c:pt idx="94">
                  <c:v>868000</c:v>
                </c:pt>
                <c:pt idx="95">
                  <c:v>1197670.0000000005</c:v>
                </c:pt>
                <c:pt idx="96">
                  <c:v>50830</c:v>
                </c:pt>
                <c:pt idx="97">
                  <c:v>11634600</c:v>
                </c:pt>
                <c:pt idx="98">
                  <c:v>5882200</c:v>
                </c:pt>
                <c:pt idx="99">
                  <c:v>9482300</c:v>
                </c:pt>
                <c:pt idx="100">
                  <c:v>7310100</c:v>
                </c:pt>
                <c:pt idx="101">
                  <c:v>450070</c:v>
                </c:pt>
                <c:pt idx="102">
                  <c:v>5529980</c:v>
                </c:pt>
                <c:pt idx="103">
                  <c:v>7973800</c:v>
                </c:pt>
                <c:pt idx="104">
                  <c:v>2726500</c:v>
                </c:pt>
                <c:pt idx="105">
                  <c:v>11387500</c:v>
                </c:pt>
                <c:pt idx="106">
                  <c:v>11240300</c:v>
                </c:pt>
                <c:pt idx="107">
                  <c:v>10040600</c:v>
                </c:pt>
                <c:pt idx="108">
                  <c:v>7765200</c:v>
                </c:pt>
                <c:pt idx="109">
                  <c:v>1369040</c:v>
                </c:pt>
                <c:pt idx="110">
                  <c:v>4500820</c:v>
                </c:pt>
                <c:pt idx="111">
                  <c:v>1115130</c:v>
                </c:pt>
                <c:pt idx="112">
                  <c:v>2180710</c:v>
                </c:pt>
                <c:pt idx="113">
                  <c:v>1608050</c:v>
                </c:pt>
                <c:pt idx="114">
                  <c:v>2510000</c:v>
                </c:pt>
                <c:pt idx="115">
                  <c:v>3069000</c:v>
                </c:pt>
                <c:pt idx="116">
                  <c:v>10349300</c:v>
                </c:pt>
                <c:pt idx="117">
                  <c:v>5026600</c:v>
                </c:pt>
                <c:pt idx="118">
                  <c:v>4987700.0000000009</c:v>
                </c:pt>
                <c:pt idx="119">
                  <c:v>13746400</c:v>
                </c:pt>
                <c:pt idx="120">
                  <c:v>18846400</c:v>
                </c:pt>
                <c:pt idx="121">
                  <c:v>18262500</c:v>
                </c:pt>
                <c:pt idx="122">
                  <c:v>15278200</c:v>
                </c:pt>
                <c:pt idx="123">
                  <c:v>11804800</c:v>
                </c:pt>
                <c:pt idx="124">
                  <c:v>10337000.000000002</c:v>
                </c:pt>
                <c:pt idx="125">
                  <c:v>3225600</c:v>
                </c:pt>
                <c:pt idx="126">
                  <c:v>57304900</c:v>
                </c:pt>
                <c:pt idx="127">
                  <c:v>1169000</c:v>
                </c:pt>
                <c:pt idx="128">
                  <c:v>25431300</c:v>
                </c:pt>
                <c:pt idx="129">
                  <c:v>28442600</c:v>
                </c:pt>
                <c:pt idx="130">
                  <c:v>24399800</c:v>
                </c:pt>
                <c:pt idx="131">
                  <c:v>20092200</c:v>
                </c:pt>
                <c:pt idx="132">
                  <c:v>15786700</c:v>
                </c:pt>
                <c:pt idx="133">
                  <c:v>17026000</c:v>
                </c:pt>
                <c:pt idx="134">
                  <c:v>14259600</c:v>
                </c:pt>
                <c:pt idx="135">
                  <c:v>12013100</c:v>
                </c:pt>
                <c:pt idx="136">
                  <c:v>9140700</c:v>
                </c:pt>
                <c:pt idx="137">
                  <c:v>6721700</c:v>
                </c:pt>
                <c:pt idx="138">
                  <c:v>4793700</c:v>
                </c:pt>
                <c:pt idx="139">
                  <c:v>9250700</c:v>
                </c:pt>
                <c:pt idx="140">
                  <c:v>3269730</c:v>
                </c:pt>
                <c:pt idx="141">
                  <c:v>6824600</c:v>
                </c:pt>
                <c:pt idx="142">
                  <c:v>5176880</c:v>
                </c:pt>
                <c:pt idx="143">
                  <c:v>660020</c:v>
                </c:pt>
                <c:pt idx="144">
                  <c:v>1536740.0000000005</c:v>
                </c:pt>
                <c:pt idx="145">
                  <c:v>2364460</c:v>
                </c:pt>
                <c:pt idx="146">
                  <c:v>1486999.9999999995</c:v>
                </c:pt>
                <c:pt idx="147">
                  <c:v>1403000</c:v>
                </c:pt>
                <c:pt idx="148">
                  <c:v>1790000</c:v>
                </c:pt>
                <c:pt idx="149">
                  <c:v>5928000</c:v>
                </c:pt>
                <c:pt idx="150">
                  <c:v>26575500</c:v>
                </c:pt>
                <c:pt idx="151">
                  <c:v>12263400</c:v>
                </c:pt>
                <c:pt idx="152">
                  <c:v>13906699.999999998</c:v>
                </c:pt>
                <c:pt idx="153">
                  <c:v>14497700</c:v>
                </c:pt>
                <c:pt idx="154">
                  <c:v>13496700</c:v>
                </c:pt>
                <c:pt idx="155">
                  <c:v>10963700</c:v>
                </c:pt>
                <c:pt idx="156">
                  <c:v>4848800</c:v>
                </c:pt>
                <c:pt idx="157">
                  <c:v>5522600</c:v>
                </c:pt>
                <c:pt idx="158">
                  <c:v>1424400</c:v>
                </c:pt>
                <c:pt idx="159">
                  <c:v>4024100</c:v>
                </c:pt>
                <c:pt idx="160">
                  <c:v>7002100</c:v>
                </c:pt>
                <c:pt idx="161">
                  <c:v>9546400</c:v>
                </c:pt>
                <c:pt idx="162">
                  <c:v>8252099.9999999991</c:v>
                </c:pt>
                <c:pt idx="163">
                  <c:v>1729810</c:v>
                </c:pt>
                <c:pt idx="164">
                  <c:v>4946100</c:v>
                </c:pt>
                <c:pt idx="165">
                  <c:v>1749940</c:v>
                </c:pt>
                <c:pt idx="166">
                  <c:v>1728429.9999999991</c:v>
                </c:pt>
                <c:pt idx="167">
                  <c:v>2909120</c:v>
                </c:pt>
                <c:pt idx="168">
                  <c:v>3007000</c:v>
                </c:pt>
                <c:pt idx="169">
                  <c:v>882480</c:v>
                </c:pt>
                <c:pt idx="170">
                  <c:v>2357000</c:v>
                </c:pt>
                <c:pt idx="171">
                  <c:v>3201000</c:v>
                </c:pt>
                <c:pt idx="172">
                  <c:v>5265380</c:v>
                </c:pt>
                <c:pt idx="173">
                  <c:v>9506600</c:v>
                </c:pt>
                <c:pt idx="174">
                  <c:v>4562490</c:v>
                </c:pt>
                <c:pt idx="175">
                  <c:v>7108400</c:v>
                </c:pt>
                <c:pt idx="176">
                  <c:v>10517700</c:v>
                </c:pt>
                <c:pt idx="177">
                  <c:v>14429100</c:v>
                </c:pt>
                <c:pt idx="178">
                  <c:v>15960100</c:v>
                </c:pt>
                <c:pt idx="179">
                  <c:v>10030500</c:v>
                </c:pt>
                <c:pt idx="180">
                  <c:v>126022700</c:v>
                </c:pt>
                <c:pt idx="181">
                  <c:v>135990500</c:v>
                </c:pt>
                <c:pt idx="182">
                  <c:v>6252399.9999999925</c:v>
                </c:pt>
                <c:pt idx="183">
                  <c:v>102970900</c:v>
                </c:pt>
                <c:pt idx="184">
                  <c:v>178378000</c:v>
                </c:pt>
                <c:pt idx="185">
                  <c:v>140676000</c:v>
                </c:pt>
                <c:pt idx="186">
                  <c:v>68390000</c:v>
                </c:pt>
                <c:pt idx="187">
                  <c:v>42618000</c:v>
                </c:pt>
                <c:pt idx="188">
                  <c:v>39183200</c:v>
                </c:pt>
                <c:pt idx="189">
                  <c:v>41280799.999999993</c:v>
                </c:pt>
                <c:pt idx="190">
                  <c:v>137442799.99999997</c:v>
                </c:pt>
                <c:pt idx="191">
                  <c:v>152671000</c:v>
                </c:pt>
                <c:pt idx="192">
                  <c:v>121301000</c:v>
                </c:pt>
                <c:pt idx="193">
                  <c:v>88382000</c:v>
                </c:pt>
                <c:pt idx="194">
                  <c:v>83680000</c:v>
                </c:pt>
                <c:pt idx="195">
                  <c:v>71886400</c:v>
                </c:pt>
                <c:pt idx="196">
                  <c:v>59324700</c:v>
                </c:pt>
                <c:pt idx="197">
                  <c:v>47373400</c:v>
                </c:pt>
                <c:pt idx="198">
                  <c:v>36204500</c:v>
                </c:pt>
                <c:pt idx="199">
                  <c:v>26385600</c:v>
                </c:pt>
                <c:pt idx="200">
                  <c:v>25230400</c:v>
                </c:pt>
                <c:pt idx="201">
                  <c:v>21669100</c:v>
                </c:pt>
                <c:pt idx="202">
                  <c:v>16548900</c:v>
                </c:pt>
                <c:pt idx="203">
                  <c:v>12870200</c:v>
                </c:pt>
                <c:pt idx="204">
                  <c:v>7825700.0000000009</c:v>
                </c:pt>
                <c:pt idx="205">
                  <c:v>2788700</c:v>
                </c:pt>
                <c:pt idx="206">
                  <c:v>751920</c:v>
                </c:pt>
                <c:pt idx="207">
                  <c:v>492090</c:v>
                </c:pt>
                <c:pt idx="208">
                  <c:v>375650</c:v>
                </c:pt>
                <c:pt idx="209">
                  <c:v>963590</c:v>
                </c:pt>
                <c:pt idx="210">
                  <c:v>2047870</c:v>
                </c:pt>
                <c:pt idx="211">
                  <c:v>2331790</c:v>
                </c:pt>
                <c:pt idx="212">
                  <c:v>2160000</c:v>
                </c:pt>
                <c:pt idx="213">
                  <c:v>1824000</c:v>
                </c:pt>
                <c:pt idx="214">
                  <c:v>1477000.0000000005</c:v>
                </c:pt>
                <c:pt idx="215">
                  <c:v>1397999.9999999995</c:v>
                </c:pt>
                <c:pt idx="216">
                  <c:v>1146000</c:v>
                </c:pt>
                <c:pt idx="217">
                  <c:v>994000</c:v>
                </c:pt>
                <c:pt idx="218">
                  <c:v>1568000</c:v>
                </c:pt>
                <c:pt idx="219">
                  <c:v>2125000</c:v>
                </c:pt>
                <c:pt idx="220">
                  <c:v>11438000</c:v>
                </c:pt>
                <c:pt idx="221">
                  <c:v>4061500</c:v>
                </c:pt>
                <c:pt idx="222">
                  <c:v>14848800</c:v>
                </c:pt>
                <c:pt idx="223">
                  <c:v>14881300</c:v>
                </c:pt>
                <c:pt idx="224">
                  <c:v>12923800</c:v>
                </c:pt>
                <c:pt idx="225">
                  <c:v>9941500</c:v>
                </c:pt>
                <c:pt idx="226">
                  <c:v>7170900</c:v>
                </c:pt>
                <c:pt idx="227">
                  <c:v>4530419.9999999981</c:v>
                </c:pt>
                <c:pt idx="228">
                  <c:v>1050020</c:v>
                </c:pt>
                <c:pt idx="229">
                  <c:v>3573170</c:v>
                </c:pt>
                <c:pt idx="230">
                  <c:v>4772410</c:v>
                </c:pt>
                <c:pt idx="231">
                  <c:v>4439760</c:v>
                </c:pt>
                <c:pt idx="232">
                  <c:v>2550780</c:v>
                </c:pt>
                <c:pt idx="233">
                  <c:v>1496219.9999999995</c:v>
                </c:pt>
                <c:pt idx="234">
                  <c:v>40100</c:v>
                </c:pt>
                <c:pt idx="235">
                  <c:v>726590.00000000047</c:v>
                </c:pt>
                <c:pt idx="236">
                  <c:v>2642000</c:v>
                </c:pt>
                <c:pt idx="237">
                  <c:v>1461000</c:v>
                </c:pt>
                <c:pt idx="238">
                  <c:v>1816000</c:v>
                </c:pt>
                <c:pt idx="239">
                  <c:v>422190.00000000047</c:v>
                </c:pt>
                <c:pt idx="240">
                  <c:v>733310</c:v>
                </c:pt>
                <c:pt idx="241">
                  <c:v>584280</c:v>
                </c:pt>
                <c:pt idx="242">
                  <c:v>1515160</c:v>
                </c:pt>
                <c:pt idx="243">
                  <c:v>1529999.9999999995</c:v>
                </c:pt>
                <c:pt idx="244">
                  <c:v>112650.00000000047</c:v>
                </c:pt>
                <c:pt idx="245">
                  <c:v>282000</c:v>
                </c:pt>
                <c:pt idx="246">
                  <c:v>365300</c:v>
                </c:pt>
                <c:pt idx="247">
                  <c:v>367000</c:v>
                </c:pt>
                <c:pt idx="248">
                  <c:v>1242030</c:v>
                </c:pt>
                <c:pt idx="249">
                  <c:v>1494820</c:v>
                </c:pt>
                <c:pt idx="250">
                  <c:v>694770</c:v>
                </c:pt>
                <c:pt idx="251">
                  <c:v>216000</c:v>
                </c:pt>
                <c:pt idx="252">
                  <c:v>363000</c:v>
                </c:pt>
                <c:pt idx="253">
                  <c:v>115000</c:v>
                </c:pt>
                <c:pt idx="254">
                  <c:v>397720</c:v>
                </c:pt>
                <c:pt idx="255">
                  <c:v>335000</c:v>
                </c:pt>
                <c:pt idx="256">
                  <c:v>572000</c:v>
                </c:pt>
                <c:pt idx="257">
                  <c:v>3889340</c:v>
                </c:pt>
                <c:pt idx="258">
                  <c:v>4694350</c:v>
                </c:pt>
                <c:pt idx="259">
                  <c:v>3848260</c:v>
                </c:pt>
                <c:pt idx="260">
                  <c:v>4517700</c:v>
                </c:pt>
                <c:pt idx="261">
                  <c:v>3742520</c:v>
                </c:pt>
                <c:pt idx="262">
                  <c:v>2702610</c:v>
                </c:pt>
                <c:pt idx="263">
                  <c:v>1175500</c:v>
                </c:pt>
                <c:pt idx="264">
                  <c:v>1654270</c:v>
                </c:pt>
                <c:pt idx="265">
                  <c:v>3934660</c:v>
                </c:pt>
                <c:pt idx="266">
                  <c:v>3429260</c:v>
                </c:pt>
                <c:pt idx="267">
                  <c:v>2231680</c:v>
                </c:pt>
                <c:pt idx="268">
                  <c:v>781250</c:v>
                </c:pt>
                <c:pt idx="269">
                  <c:v>21970</c:v>
                </c:pt>
                <c:pt idx="270">
                  <c:v>5000</c:v>
                </c:pt>
                <c:pt idx="271">
                  <c:v>54000</c:v>
                </c:pt>
                <c:pt idx="272">
                  <c:v>14000</c:v>
                </c:pt>
                <c:pt idx="273">
                  <c:v>23000</c:v>
                </c:pt>
                <c:pt idx="274">
                  <c:v>18000</c:v>
                </c:pt>
                <c:pt idx="275">
                  <c:v>121000</c:v>
                </c:pt>
                <c:pt idx="276">
                  <c:v>278000</c:v>
                </c:pt>
                <c:pt idx="277">
                  <c:v>370000</c:v>
                </c:pt>
                <c:pt idx="278">
                  <c:v>301000</c:v>
                </c:pt>
                <c:pt idx="279">
                  <c:v>355000</c:v>
                </c:pt>
                <c:pt idx="280">
                  <c:v>685000</c:v>
                </c:pt>
                <c:pt idx="281">
                  <c:v>3966410.0000000005</c:v>
                </c:pt>
                <c:pt idx="282">
                  <c:v>5757030</c:v>
                </c:pt>
                <c:pt idx="283">
                  <c:v>5025700</c:v>
                </c:pt>
                <c:pt idx="284">
                  <c:v>3163040</c:v>
                </c:pt>
                <c:pt idx="285">
                  <c:v>1523350</c:v>
                </c:pt>
                <c:pt idx="286">
                  <c:v>132760</c:v>
                </c:pt>
                <c:pt idx="287">
                  <c:v>389000</c:v>
                </c:pt>
                <c:pt idx="288">
                  <c:v>369000</c:v>
                </c:pt>
                <c:pt idx="289">
                  <c:v>318000</c:v>
                </c:pt>
                <c:pt idx="290">
                  <c:v>370000</c:v>
                </c:pt>
                <c:pt idx="291">
                  <c:v>445000</c:v>
                </c:pt>
                <c:pt idx="292">
                  <c:v>658000</c:v>
                </c:pt>
                <c:pt idx="293">
                  <c:v>502000</c:v>
                </c:pt>
                <c:pt idx="294">
                  <c:v>429000</c:v>
                </c:pt>
                <c:pt idx="295">
                  <c:v>435000</c:v>
                </c:pt>
                <c:pt idx="296">
                  <c:v>575000</c:v>
                </c:pt>
                <c:pt idx="297">
                  <c:v>452000</c:v>
                </c:pt>
                <c:pt idx="298">
                  <c:v>322000</c:v>
                </c:pt>
                <c:pt idx="299">
                  <c:v>407000</c:v>
                </c:pt>
                <c:pt idx="300">
                  <c:v>457000</c:v>
                </c:pt>
                <c:pt idx="301">
                  <c:v>548000</c:v>
                </c:pt>
                <c:pt idx="302">
                  <c:v>394000</c:v>
                </c:pt>
                <c:pt idx="303">
                  <c:v>471000</c:v>
                </c:pt>
                <c:pt idx="304">
                  <c:v>482000</c:v>
                </c:pt>
                <c:pt idx="305">
                  <c:v>542000</c:v>
                </c:pt>
                <c:pt idx="306">
                  <c:v>517000</c:v>
                </c:pt>
                <c:pt idx="307">
                  <c:v>517000</c:v>
                </c:pt>
                <c:pt idx="308">
                  <c:v>517000</c:v>
                </c:pt>
                <c:pt idx="309">
                  <c:v>548000</c:v>
                </c:pt>
                <c:pt idx="310">
                  <c:v>2538850</c:v>
                </c:pt>
                <c:pt idx="311">
                  <c:v>3001840</c:v>
                </c:pt>
                <c:pt idx="312">
                  <c:v>2177680</c:v>
                </c:pt>
                <c:pt idx="313">
                  <c:v>800130</c:v>
                </c:pt>
                <c:pt idx="314">
                  <c:v>1699880</c:v>
                </c:pt>
                <c:pt idx="315">
                  <c:v>987370.00000000047</c:v>
                </c:pt>
                <c:pt idx="316">
                  <c:v>32900</c:v>
                </c:pt>
                <c:pt idx="317">
                  <c:v>591000</c:v>
                </c:pt>
                <c:pt idx="318">
                  <c:v>786000</c:v>
                </c:pt>
                <c:pt idx="319">
                  <c:v>757000</c:v>
                </c:pt>
                <c:pt idx="320">
                  <c:v>2343860</c:v>
                </c:pt>
                <c:pt idx="321">
                  <c:v>3112369.9999999995</c:v>
                </c:pt>
                <c:pt idx="322">
                  <c:v>2889460</c:v>
                </c:pt>
                <c:pt idx="323">
                  <c:v>1721430</c:v>
                </c:pt>
                <c:pt idx="324">
                  <c:v>394470</c:v>
                </c:pt>
                <c:pt idx="325">
                  <c:v>726000</c:v>
                </c:pt>
                <c:pt idx="326">
                  <c:v>776000</c:v>
                </c:pt>
                <c:pt idx="327">
                  <c:v>776000</c:v>
                </c:pt>
                <c:pt idx="328">
                  <c:v>720000.00000000047</c:v>
                </c:pt>
                <c:pt idx="329">
                  <c:v>697000</c:v>
                </c:pt>
                <c:pt idx="330">
                  <c:v>718000</c:v>
                </c:pt>
                <c:pt idx="331">
                  <c:v>824000</c:v>
                </c:pt>
                <c:pt idx="332">
                  <c:v>749000</c:v>
                </c:pt>
                <c:pt idx="333">
                  <c:v>715000</c:v>
                </c:pt>
                <c:pt idx="334">
                  <c:v>692000</c:v>
                </c:pt>
                <c:pt idx="335">
                  <c:v>645000</c:v>
                </c:pt>
                <c:pt idx="336">
                  <c:v>728000</c:v>
                </c:pt>
                <c:pt idx="337">
                  <c:v>794000</c:v>
                </c:pt>
                <c:pt idx="338">
                  <c:v>797000</c:v>
                </c:pt>
                <c:pt idx="339">
                  <c:v>768000</c:v>
                </c:pt>
                <c:pt idx="340">
                  <c:v>747000</c:v>
                </c:pt>
                <c:pt idx="341">
                  <c:v>776000</c:v>
                </c:pt>
                <c:pt idx="342">
                  <c:v>765000</c:v>
                </c:pt>
                <c:pt idx="343">
                  <c:v>778000</c:v>
                </c:pt>
                <c:pt idx="344">
                  <c:v>857000</c:v>
                </c:pt>
                <c:pt idx="345">
                  <c:v>565960</c:v>
                </c:pt>
                <c:pt idx="346">
                  <c:v>1056930</c:v>
                </c:pt>
                <c:pt idx="347">
                  <c:v>326560</c:v>
                </c:pt>
                <c:pt idx="348">
                  <c:v>289370</c:v>
                </c:pt>
                <c:pt idx="349">
                  <c:v>194730</c:v>
                </c:pt>
                <c:pt idx="350">
                  <c:v>164579.99999999953</c:v>
                </c:pt>
                <c:pt idx="351">
                  <c:v>711210</c:v>
                </c:pt>
                <c:pt idx="352">
                  <c:v>818000</c:v>
                </c:pt>
                <c:pt idx="353">
                  <c:v>836999.99999999953</c:v>
                </c:pt>
                <c:pt idx="354">
                  <c:v>813000.00000000047</c:v>
                </c:pt>
                <c:pt idx="355">
                  <c:v>731000</c:v>
                </c:pt>
                <c:pt idx="356">
                  <c:v>731000</c:v>
                </c:pt>
                <c:pt idx="357">
                  <c:v>704999.99999999953</c:v>
                </c:pt>
                <c:pt idx="358">
                  <c:v>742000</c:v>
                </c:pt>
                <c:pt idx="359">
                  <c:v>689000</c:v>
                </c:pt>
                <c:pt idx="360">
                  <c:v>682000</c:v>
                </c:pt>
                <c:pt idx="361">
                  <c:v>668000</c:v>
                </c:pt>
                <c:pt idx="362">
                  <c:v>684000</c:v>
                </c:pt>
                <c:pt idx="363">
                  <c:v>797000</c:v>
                </c:pt>
                <c:pt idx="364">
                  <c:v>771000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4-4EF2-82DE-B83109C9C1FF}"/>
            </c:ext>
          </c:extLst>
        </c:ser>
        <c:ser>
          <c:idx val="3"/>
          <c:order val="3"/>
          <c:tx>
            <c:strRef>
              <c:f>Sheet1!$M$10</c:f>
              <c:strCache>
                <c:ptCount val="1"/>
                <c:pt idx="0">
                  <c:v>観測値-計算値: 調整後_log_err_sq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Sheet1!$M$11:$M$375</c:f>
              <c:numCache>
                <c:formatCode>#,##0_);[Red]\(#,##0\)</c:formatCode>
                <c:ptCount val="365"/>
                <c:pt idx="0">
                  <c:v>3201999.0000000005</c:v>
                </c:pt>
                <c:pt idx="1">
                  <c:v>3201999.0000000005</c:v>
                </c:pt>
                <c:pt idx="2">
                  <c:v>3201999.0000000005</c:v>
                </c:pt>
                <c:pt idx="3">
                  <c:v>3178999</c:v>
                </c:pt>
                <c:pt idx="4">
                  <c:v>3139999</c:v>
                </c:pt>
                <c:pt idx="5">
                  <c:v>3149999</c:v>
                </c:pt>
                <c:pt idx="6">
                  <c:v>3196999</c:v>
                </c:pt>
                <c:pt idx="7">
                  <c:v>2052180.0000000005</c:v>
                </c:pt>
                <c:pt idx="8">
                  <c:v>2143950</c:v>
                </c:pt>
                <c:pt idx="9">
                  <c:v>2752391</c:v>
                </c:pt>
                <c:pt idx="10">
                  <c:v>2924980.9999999995</c:v>
                </c:pt>
                <c:pt idx="11">
                  <c:v>2927057</c:v>
                </c:pt>
                <c:pt idx="12">
                  <c:v>2846437</c:v>
                </c:pt>
                <c:pt idx="13">
                  <c:v>3875500</c:v>
                </c:pt>
                <c:pt idx="14">
                  <c:v>12043400</c:v>
                </c:pt>
                <c:pt idx="15">
                  <c:v>15152700</c:v>
                </c:pt>
                <c:pt idx="16">
                  <c:v>13784900</c:v>
                </c:pt>
                <c:pt idx="17">
                  <c:v>6492510</c:v>
                </c:pt>
                <c:pt idx="18">
                  <c:v>8745400</c:v>
                </c:pt>
                <c:pt idx="19">
                  <c:v>2156550</c:v>
                </c:pt>
                <c:pt idx="20">
                  <c:v>513670</c:v>
                </c:pt>
                <c:pt idx="21">
                  <c:v>3634920</c:v>
                </c:pt>
                <c:pt idx="22">
                  <c:v>1440520.0000000005</c:v>
                </c:pt>
                <c:pt idx="23">
                  <c:v>2072290</c:v>
                </c:pt>
                <c:pt idx="24">
                  <c:v>6339040</c:v>
                </c:pt>
                <c:pt idx="25">
                  <c:v>645250</c:v>
                </c:pt>
                <c:pt idx="26">
                  <c:v>617820</c:v>
                </c:pt>
                <c:pt idx="27">
                  <c:v>1463610</c:v>
                </c:pt>
                <c:pt idx="28">
                  <c:v>1842030</c:v>
                </c:pt>
                <c:pt idx="29">
                  <c:v>2281870</c:v>
                </c:pt>
                <c:pt idx="30">
                  <c:v>2051290.0000000005</c:v>
                </c:pt>
                <c:pt idx="31">
                  <c:v>2295488</c:v>
                </c:pt>
                <c:pt idx="32">
                  <c:v>2614642</c:v>
                </c:pt>
                <c:pt idx="33">
                  <c:v>2804366</c:v>
                </c:pt>
                <c:pt idx="34">
                  <c:v>2892559</c:v>
                </c:pt>
                <c:pt idx="35">
                  <c:v>2940079.9999999995</c:v>
                </c:pt>
                <c:pt idx="36">
                  <c:v>2999253</c:v>
                </c:pt>
                <c:pt idx="37">
                  <c:v>2493280</c:v>
                </c:pt>
                <c:pt idx="38">
                  <c:v>364260</c:v>
                </c:pt>
                <c:pt idx="39">
                  <c:v>971769.99999999953</c:v>
                </c:pt>
                <c:pt idx="40">
                  <c:v>2360440</c:v>
                </c:pt>
                <c:pt idx="41">
                  <c:v>460750.00000000047</c:v>
                </c:pt>
                <c:pt idx="42">
                  <c:v>238490</c:v>
                </c:pt>
                <c:pt idx="43">
                  <c:v>777400</c:v>
                </c:pt>
                <c:pt idx="44">
                  <c:v>5648700</c:v>
                </c:pt>
                <c:pt idx="45">
                  <c:v>241180</c:v>
                </c:pt>
                <c:pt idx="46">
                  <c:v>575870</c:v>
                </c:pt>
                <c:pt idx="47">
                  <c:v>1453030</c:v>
                </c:pt>
                <c:pt idx="48">
                  <c:v>2235760.0000000005</c:v>
                </c:pt>
                <c:pt idx="49">
                  <c:v>3236159.9999999991</c:v>
                </c:pt>
                <c:pt idx="50">
                  <c:v>2681990</c:v>
                </c:pt>
                <c:pt idx="51">
                  <c:v>2285740</c:v>
                </c:pt>
                <c:pt idx="52">
                  <c:v>6237600</c:v>
                </c:pt>
                <c:pt idx="53">
                  <c:v>39670</c:v>
                </c:pt>
                <c:pt idx="54">
                  <c:v>1156620</c:v>
                </c:pt>
                <c:pt idx="55">
                  <c:v>4001380.0000000005</c:v>
                </c:pt>
                <c:pt idx="56">
                  <c:v>808070</c:v>
                </c:pt>
                <c:pt idx="57">
                  <c:v>1516610</c:v>
                </c:pt>
                <c:pt idx="58">
                  <c:v>1952670</c:v>
                </c:pt>
                <c:pt idx="59">
                  <c:v>1929400</c:v>
                </c:pt>
                <c:pt idx="60">
                  <c:v>2029180</c:v>
                </c:pt>
                <c:pt idx="61">
                  <c:v>1637370.0000000005</c:v>
                </c:pt>
                <c:pt idx="62">
                  <c:v>894050</c:v>
                </c:pt>
                <c:pt idx="63">
                  <c:v>261460</c:v>
                </c:pt>
                <c:pt idx="64">
                  <c:v>3148060</c:v>
                </c:pt>
                <c:pt idx="65">
                  <c:v>1960830.0000000005</c:v>
                </c:pt>
                <c:pt idx="66">
                  <c:v>2320288</c:v>
                </c:pt>
                <c:pt idx="67">
                  <c:v>2521240</c:v>
                </c:pt>
                <c:pt idx="68">
                  <c:v>235400</c:v>
                </c:pt>
                <c:pt idx="69">
                  <c:v>827950</c:v>
                </c:pt>
                <c:pt idx="70">
                  <c:v>1637459.9999999995</c:v>
                </c:pt>
                <c:pt idx="71">
                  <c:v>4713250</c:v>
                </c:pt>
                <c:pt idx="72">
                  <c:v>123639.99999999953</c:v>
                </c:pt>
                <c:pt idx="73">
                  <c:v>854360</c:v>
                </c:pt>
                <c:pt idx="74">
                  <c:v>1854200</c:v>
                </c:pt>
                <c:pt idx="75">
                  <c:v>2341820.0000000005</c:v>
                </c:pt>
                <c:pt idx="76">
                  <c:v>30430</c:v>
                </c:pt>
                <c:pt idx="77">
                  <c:v>5971220</c:v>
                </c:pt>
                <c:pt idx="78">
                  <c:v>501710</c:v>
                </c:pt>
                <c:pt idx="79">
                  <c:v>2429620</c:v>
                </c:pt>
                <c:pt idx="80">
                  <c:v>5871300</c:v>
                </c:pt>
                <c:pt idx="81">
                  <c:v>10273600</c:v>
                </c:pt>
                <c:pt idx="82">
                  <c:v>16915200</c:v>
                </c:pt>
                <c:pt idx="83">
                  <c:v>9470600</c:v>
                </c:pt>
                <c:pt idx="84">
                  <c:v>10096000</c:v>
                </c:pt>
                <c:pt idx="85">
                  <c:v>12159200</c:v>
                </c:pt>
                <c:pt idx="86">
                  <c:v>5760200</c:v>
                </c:pt>
                <c:pt idx="87">
                  <c:v>8820600</c:v>
                </c:pt>
                <c:pt idx="88">
                  <c:v>2291530</c:v>
                </c:pt>
                <c:pt idx="89">
                  <c:v>5302830</c:v>
                </c:pt>
                <c:pt idx="90">
                  <c:v>586620</c:v>
                </c:pt>
                <c:pt idx="91">
                  <c:v>1295730</c:v>
                </c:pt>
                <c:pt idx="92">
                  <c:v>2774400</c:v>
                </c:pt>
                <c:pt idx="93">
                  <c:v>2281260</c:v>
                </c:pt>
                <c:pt idx="94">
                  <c:v>2384807</c:v>
                </c:pt>
                <c:pt idx="95">
                  <c:v>1325700.0000000005</c:v>
                </c:pt>
                <c:pt idx="96">
                  <c:v>201340</c:v>
                </c:pt>
                <c:pt idx="97">
                  <c:v>12274100</c:v>
                </c:pt>
                <c:pt idx="98">
                  <c:v>6337600</c:v>
                </c:pt>
                <c:pt idx="99">
                  <c:v>9650100</c:v>
                </c:pt>
                <c:pt idx="100">
                  <c:v>2966049.9999999995</c:v>
                </c:pt>
                <c:pt idx="101">
                  <c:v>5008340</c:v>
                </c:pt>
                <c:pt idx="102">
                  <c:v>6000000</c:v>
                </c:pt>
                <c:pt idx="103">
                  <c:v>8083000</c:v>
                </c:pt>
                <c:pt idx="104">
                  <c:v>3375500</c:v>
                </c:pt>
                <c:pt idx="105">
                  <c:v>12096200</c:v>
                </c:pt>
                <c:pt idx="106">
                  <c:v>11622400</c:v>
                </c:pt>
                <c:pt idx="107">
                  <c:v>5736400</c:v>
                </c:pt>
                <c:pt idx="108">
                  <c:v>8146300</c:v>
                </c:pt>
                <c:pt idx="109">
                  <c:v>5833500</c:v>
                </c:pt>
                <c:pt idx="110">
                  <c:v>16520</c:v>
                </c:pt>
                <c:pt idx="111">
                  <c:v>1226440</c:v>
                </c:pt>
                <c:pt idx="112">
                  <c:v>2155550</c:v>
                </c:pt>
                <c:pt idx="113">
                  <c:v>3061870</c:v>
                </c:pt>
                <c:pt idx="114">
                  <c:v>3564810</c:v>
                </c:pt>
                <c:pt idx="115">
                  <c:v>3725900</c:v>
                </c:pt>
                <c:pt idx="116">
                  <c:v>10911700</c:v>
                </c:pt>
                <c:pt idx="117">
                  <c:v>5325000</c:v>
                </c:pt>
                <c:pt idx="118">
                  <c:v>5134300.0000000009</c:v>
                </c:pt>
                <c:pt idx="119">
                  <c:v>15460600</c:v>
                </c:pt>
                <c:pt idx="120">
                  <c:v>19957700</c:v>
                </c:pt>
                <c:pt idx="121">
                  <c:v>18915800</c:v>
                </c:pt>
                <c:pt idx="122">
                  <c:v>15587900</c:v>
                </c:pt>
                <c:pt idx="123">
                  <c:v>11861000</c:v>
                </c:pt>
                <c:pt idx="124">
                  <c:v>10350299.999999998</c:v>
                </c:pt>
                <c:pt idx="125">
                  <c:v>3067400</c:v>
                </c:pt>
                <c:pt idx="126">
                  <c:v>55648300</c:v>
                </c:pt>
                <c:pt idx="127">
                  <c:v>3591200</c:v>
                </c:pt>
                <c:pt idx="128">
                  <c:v>26931800</c:v>
                </c:pt>
                <c:pt idx="129">
                  <c:v>29247100</c:v>
                </c:pt>
                <c:pt idx="130">
                  <c:v>24686300</c:v>
                </c:pt>
                <c:pt idx="131">
                  <c:v>19999300</c:v>
                </c:pt>
                <c:pt idx="132">
                  <c:v>15422300</c:v>
                </c:pt>
                <c:pt idx="133">
                  <c:v>16920300</c:v>
                </c:pt>
                <c:pt idx="134">
                  <c:v>13895700</c:v>
                </c:pt>
                <c:pt idx="135">
                  <c:v>11469700</c:v>
                </c:pt>
                <c:pt idx="136">
                  <c:v>8478800</c:v>
                </c:pt>
                <c:pt idx="137">
                  <c:v>5987800</c:v>
                </c:pt>
                <c:pt idx="138">
                  <c:v>4074920</c:v>
                </c:pt>
                <c:pt idx="139">
                  <c:v>4824600</c:v>
                </c:pt>
                <c:pt idx="140">
                  <c:v>7737500</c:v>
                </c:pt>
                <c:pt idx="141">
                  <c:v>2002550</c:v>
                </c:pt>
                <c:pt idx="142">
                  <c:v>536350</c:v>
                </c:pt>
                <c:pt idx="143">
                  <c:v>3715080</c:v>
                </c:pt>
                <c:pt idx="144">
                  <c:v>1772540.0000000005</c:v>
                </c:pt>
                <c:pt idx="145">
                  <c:v>2362450</c:v>
                </c:pt>
                <c:pt idx="146">
                  <c:v>2618509.9999999995</c:v>
                </c:pt>
                <c:pt idx="147">
                  <c:v>1685980</c:v>
                </c:pt>
                <c:pt idx="148">
                  <c:v>3410184</c:v>
                </c:pt>
                <c:pt idx="149">
                  <c:v>7549594</c:v>
                </c:pt>
                <c:pt idx="150">
                  <c:v>25662800</c:v>
                </c:pt>
                <c:pt idx="151">
                  <c:v>13519400</c:v>
                </c:pt>
                <c:pt idx="152">
                  <c:v>14862099.999999998</c:v>
                </c:pt>
                <c:pt idx="153">
                  <c:v>15089400</c:v>
                </c:pt>
                <c:pt idx="154">
                  <c:v>13749500</c:v>
                </c:pt>
                <c:pt idx="155">
                  <c:v>10967300</c:v>
                </c:pt>
                <c:pt idx="156">
                  <c:v>274400</c:v>
                </c:pt>
                <c:pt idx="157">
                  <c:v>10732700</c:v>
                </c:pt>
                <c:pt idx="158">
                  <c:v>1437500</c:v>
                </c:pt>
                <c:pt idx="159">
                  <c:v>123300</c:v>
                </c:pt>
                <c:pt idx="160">
                  <c:v>7607200</c:v>
                </c:pt>
                <c:pt idx="161">
                  <c:v>9882600</c:v>
                </c:pt>
                <c:pt idx="162">
                  <c:v>8361999.9999999991</c:v>
                </c:pt>
                <c:pt idx="163">
                  <c:v>1656730</c:v>
                </c:pt>
                <c:pt idx="164">
                  <c:v>4774400</c:v>
                </c:pt>
                <c:pt idx="165">
                  <c:v>1953180</c:v>
                </c:pt>
                <c:pt idx="166">
                  <c:v>2933850.0000000009</c:v>
                </c:pt>
                <c:pt idx="167">
                  <c:v>1459190</c:v>
                </c:pt>
                <c:pt idx="168">
                  <c:v>3570030</c:v>
                </c:pt>
                <c:pt idx="169">
                  <c:v>3788910</c:v>
                </c:pt>
                <c:pt idx="170">
                  <c:v>3687150</c:v>
                </c:pt>
                <c:pt idx="171">
                  <c:v>4766438</c:v>
                </c:pt>
                <c:pt idx="172">
                  <c:v>10255200</c:v>
                </c:pt>
                <c:pt idx="173">
                  <c:v>5333110</c:v>
                </c:pt>
                <c:pt idx="174">
                  <c:v>9225400</c:v>
                </c:pt>
                <c:pt idx="175">
                  <c:v>2716200</c:v>
                </c:pt>
                <c:pt idx="176">
                  <c:v>11421499.999999998</c:v>
                </c:pt>
                <c:pt idx="177">
                  <c:v>15262500</c:v>
                </c:pt>
                <c:pt idx="178">
                  <c:v>17064700</c:v>
                </c:pt>
                <c:pt idx="179">
                  <c:v>10913500</c:v>
                </c:pt>
                <c:pt idx="180">
                  <c:v>124832800</c:v>
                </c:pt>
                <c:pt idx="181">
                  <c:v>131619600</c:v>
                </c:pt>
                <c:pt idx="182">
                  <c:v>9897799.9999999925</c:v>
                </c:pt>
                <c:pt idx="183">
                  <c:v>99935200</c:v>
                </c:pt>
                <c:pt idx="184">
                  <c:v>179287000</c:v>
                </c:pt>
                <c:pt idx="185">
                  <c:v>132347000</c:v>
                </c:pt>
                <c:pt idx="186">
                  <c:v>70932000</c:v>
                </c:pt>
                <c:pt idx="187">
                  <c:v>43966700</c:v>
                </c:pt>
                <c:pt idx="188">
                  <c:v>40468500</c:v>
                </c:pt>
                <c:pt idx="189">
                  <c:v>40551000</c:v>
                </c:pt>
                <c:pt idx="190">
                  <c:v>135164699.99999997</c:v>
                </c:pt>
                <c:pt idx="191">
                  <c:v>150261000</c:v>
                </c:pt>
                <c:pt idx="192">
                  <c:v>114685000</c:v>
                </c:pt>
                <c:pt idx="193">
                  <c:v>92876000</c:v>
                </c:pt>
                <c:pt idx="194">
                  <c:v>86758000</c:v>
                </c:pt>
                <c:pt idx="195">
                  <c:v>73447400</c:v>
                </c:pt>
                <c:pt idx="196">
                  <c:v>59885600</c:v>
                </c:pt>
                <c:pt idx="197">
                  <c:v>47153800</c:v>
                </c:pt>
                <c:pt idx="198">
                  <c:v>35451400</c:v>
                </c:pt>
                <c:pt idx="199">
                  <c:v>25348700</c:v>
                </c:pt>
                <c:pt idx="200">
                  <c:v>24489200</c:v>
                </c:pt>
                <c:pt idx="201">
                  <c:v>20715400</c:v>
                </c:pt>
                <c:pt idx="202">
                  <c:v>15413400</c:v>
                </c:pt>
                <c:pt idx="203">
                  <c:v>11648300</c:v>
                </c:pt>
                <c:pt idx="204">
                  <c:v>6584800.0000000009</c:v>
                </c:pt>
                <c:pt idx="205">
                  <c:v>1586800</c:v>
                </c:pt>
                <c:pt idx="206">
                  <c:v>396320</c:v>
                </c:pt>
                <c:pt idx="207">
                  <c:v>572950</c:v>
                </c:pt>
                <c:pt idx="208">
                  <c:v>1361440</c:v>
                </c:pt>
                <c:pt idx="209">
                  <c:v>1866270</c:v>
                </c:pt>
                <c:pt idx="210">
                  <c:v>2865370</c:v>
                </c:pt>
                <c:pt idx="211">
                  <c:v>3065400</c:v>
                </c:pt>
                <c:pt idx="212">
                  <c:v>3087590</c:v>
                </c:pt>
                <c:pt idx="213">
                  <c:v>3060020</c:v>
                </c:pt>
                <c:pt idx="214">
                  <c:v>2961210.0000000005</c:v>
                </c:pt>
                <c:pt idx="215">
                  <c:v>2748939.9999999995</c:v>
                </c:pt>
                <c:pt idx="216">
                  <c:v>2641600</c:v>
                </c:pt>
                <c:pt idx="217">
                  <c:v>2762285</c:v>
                </c:pt>
                <c:pt idx="218">
                  <c:v>3504227</c:v>
                </c:pt>
                <c:pt idx="219">
                  <c:v>4179150</c:v>
                </c:pt>
                <c:pt idx="220">
                  <c:v>12747940</c:v>
                </c:pt>
                <c:pt idx="221">
                  <c:v>3141500</c:v>
                </c:pt>
                <c:pt idx="222">
                  <c:v>16051400</c:v>
                </c:pt>
                <c:pt idx="223">
                  <c:v>15649100</c:v>
                </c:pt>
                <c:pt idx="224">
                  <c:v>13304000</c:v>
                </c:pt>
                <c:pt idx="225">
                  <c:v>10047900</c:v>
                </c:pt>
                <c:pt idx="226">
                  <c:v>7089300</c:v>
                </c:pt>
                <c:pt idx="227">
                  <c:v>4325960</c:v>
                </c:pt>
                <c:pt idx="228">
                  <c:v>1331120</c:v>
                </c:pt>
                <c:pt idx="229">
                  <c:v>3708700</c:v>
                </c:pt>
                <c:pt idx="230">
                  <c:v>4801780</c:v>
                </c:pt>
                <c:pt idx="231">
                  <c:v>4321100</c:v>
                </c:pt>
                <c:pt idx="232">
                  <c:v>2334650</c:v>
                </c:pt>
                <c:pt idx="233">
                  <c:v>1246739.9999999995</c:v>
                </c:pt>
                <c:pt idx="234">
                  <c:v>246080</c:v>
                </c:pt>
                <c:pt idx="235">
                  <c:v>1030880.0000000005</c:v>
                </c:pt>
                <c:pt idx="236">
                  <c:v>3147530</c:v>
                </c:pt>
                <c:pt idx="237">
                  <c:v>2367220</c:v>
                </c:pt>
                <c:pt idx="238">
                  <c:v>3035520</c:v>
                </c:pt>
                <c:pt idx="239">
                  <c:v>496750.00000000047</c:v>
                </c:pt>
                <c:pt idx="240">
                  <c:v>829120</c:v>
                </c:pt>
                <c:pt idx="241">
                  <c:v>717980</c:v>
                </c:pt>
                <c:pt idx="242">
                  <c:v>1618410</c:v>
                </c:pt>
                <c:pt idx="243">
                  <c:v>2006619.9999999995</c:v>
                </c:pt>
                <c:pt idx="244">
                  <c:v>139470.00000000047</c:v>
                </c:pt>
                <c:pt idx="245">
                  <c:v>265970</c:v>
                </c:pt>
                <c:pt idx="246">
                  <c:v>433640</c:v>
                </c:pt>
                <c:pt idx="247">
                  <c:v>1097120</c:v>
                </c:pt>
                <c:pt idx="248">
                  <c:v>1351370</c:v>
                </c:pt>
                <c:pt idx="249">
                  <c:v>1558110</c:v>
                </c:pt>
                <c:pt idx="250">
                  <c:v>681360</c:v>
                </c:pt>
                <c:pt idx="251">
                  <c:v>334850</c:v>
                </c:pt>
                <c:pt idx="252">
                  <c:v>1151020</c:v>
                </c:pt>
                <c:pt idx="253">
                  <c:v>106910</c:v>
                </c:pt>
                <c:pt idx="254">
                  <c:v>426680</c:v>
                </c:pt>
                <c:pt idx="255">
                  <c:v>812490</c:v>
                </c:pt>
                <c:pt idx="256">
                  <c:v>1450610</c:v>
                </c:pt>
                <c:pt idx="257">
                  <c:v>4236080</c:v>
                </c:pt>
                <c:pt idx="258">
                  <c:v>4958380</c:v>
                </c:pt>
                <c:pt idx="259">
                  <c:v>3964030</c:v>
                </c:pt>
                <c:pt idx="260">
                  <c:v>4705670</c:v>
                </c:pt>
                <c:pt idx="261">
                  <c:v>3857500</c:v>
                </c:pt>
                <c:pt idx="262">
                  <c:v>2732260</c:v>
                </c:pt>
                <c:pt idx="263">
                  <c:v>1119820</c:v>
                </c:pt>
                <c:pt idx="264">
                  <c:v>1666550</c:v>
                </c:pt>
                <c:pt idx="265">
                  <c:v>4112340</c:v>
                </c:pt>
                <c:pt idx="266">
                  <c:v>3497180</c:v>
                </c:pt>
                <c:pt idx="267">
                  <c:v>2190860</c:v>
                </c:pt>
                <c:pt idx="268">
                  <c:v>668740</c:v>
                </c:pt>
                <c:pt idx="269">
                  <c:v>135360</c:v>
                </c:pt>
                <c:pt idx="270">
                  <c:v>601860</c:v>
                </c:pt>
                <c:pt idx="271">
                  <c:v>1039090</c:v>
                </c:pt>
                <c:pt idx="272">
                  <c:v>1302310</c:v>
                </c:pt>
                <c:pt idx="273">
                  <c:v>1551808</c:v>
                </c:pt>
                <c:pt idx="274">
                  <c:v>1700115</c:v>
                </c:pt>
                <c:pt idx="275">
                  <c:v>1993346</c:v>
                </c:pt>
                <c:pt idx="276">
                  <c:v>2271842</c:v>
                </c:pt>
                <c:pt idx="277">
                  <c:v>2462735</c:v>
                </c:pt>
                <c:pt idx="278">
                  <c:v>2474967</c:v>
                </c:pt>
                <c:pt idx="279">
                  <c:v>2594175</c:v>
                </c:pt>
                <c:pt idx="280">
                  <c:v>2974905</c:v>
                </c:pt>
                <c:pt idx="281">
                  <c:v>4454490</c:v>
                </c:pt>
                <c:pt idx="282">
                  <c:v>6193180</c:v>
                </c:pt>
                <c:pt idx="283">
                  <c:v>5278409.9999999991</c:v>
                </c:pt>
                <c:pt idx="284">
                  <c:v>3274870</c:v>
                </c:pt>
                <c:pt idx="285">
                  <c:v>1536550</c:v>
                </c:pt>
                <c:pt idx="286">
                  <c:v>79270</c:v>
                </c:pt>
                <c:pt idx="287">
                  <c:v>806879.99999999977</c:v>
                </c:pt>
                <c:pt idx="288">
                  <c:v>1285710</c:v>
                </c:pt>
                <c:pt idx="289">
                  <c:v>1573310</c:v>
                </c:pt>
                <c:pt idx="290">
                  <c:v>1879364</c:v>
                </c:pt>
                <c:pt idx="291">
                  <c:v>2154220</c:v>
                </c:pt>
                <c:pt idx="292">
                  <c:v>2526150</c:v>
                </c:pt>
                <c:pt idx="293">
                  <c:v>2160144</c:v>
                </c:pt>
                <c:pt idx="294">
                  <c:v>2169953</c:v>
                </c:pt>
                <c:pt idx="295">
                  <c:v>2399759</c:v>
                </c:pt>
                <c:pt idx="296">
                  <c:v>2668406</c:v>
                </c:pt>
                <c:pt idx="297">
                  <c:v>2633204</c:v>
                </c:pt>
                <c:pt idx="298">
                  <c:v>2568907</c:v>
                </c:pt>
                <c:pt idx="299">
                  <c:v>2705109</c:v>
                </c:pt>
                <c:pt idx="300">
                  <c:v>2128338</c:v>
                </c:pt>
                <c:pt idx="301">
                  <c:v>2216695</c:v>
                </c:pt>
                <c:pt idx="302">
                  <c:v>2372923</c:v>
                </c:pt>
                <c:pt idx="303">
                  <c:v>2597328</c:v>
                </c:pt>
                <c:pt idx="304">
                  <c:v>2696019</c:v>
                </c:pt>
                <c:pt idx="305">
                  <c:v>2817103</c:v>
                </c:pt>
                <c:pt idx="306">
                  <c:v>2838248</c:v>
                </c:pt>
                <c:pt idx="307">
                  <c:v>2874348</c:v>
                </c:pt>
                <c:pt idx="308">
                  <c:v>2902984</c:v>
                </c:pt>
                <c:pt idx="309">
                  <c:v>2956818.5</c:v>
                </c:pt>
                <c:pt idx="310">
                  <c:v>2962600</c:v>
                </c:pt>
                <c:pt idx="311">
                  <c:v>3328990</c:v>
                </c:pt>
                <c:pt idx="312">
                  <c:v>2367400</c:v>
                </c:pt>
                <c:pt idx="313">
                  <c:v>891630</c:v>
                </c:pt>
                <c:pt idx="314">
                  <c:v>1901150</c:v>
                </c:pt>
                <c:pt idx="315">
                  <c:v>1101900</c:v>
                </c:pt>
                <c:pt idx="316">
                  <c:v>4900</c:v>
                </c:pt>
                <c:pt idx="317">
                  <c:v>880370</c:v>
                </c:pt>
                <c:pt idx="318">
                  <c:v>1611130</c:v>
                </c:pt>
                <c:pt idx="319">
                  <c:v>1938110</c:v>
                </c:pt>
                <c:pt idx="320">
                  <c:v>2606210</c:v>
                </c:pt>
                <c:pt idx="321">
                  <c:v>3326459.9999999995</c:v>
                </c:pt>
                <c:pt idx="322">
                  <c:v>3031070</c:v>
                </c:pt>
                <c:pt idx="323">
                  <c:v>1760080</c:v>
                </c:pt>
                <c:pt idx="324">
                  <c:v>355230</c:v>
                </c:pt>
                <c:pt idx="325">
                  <c:v>884140</c:v>
                </c:pt>
                <c:pt idx="326">
                  <c:v>1512860</c:v>
                </c:pt>
                <c:pt idx="327">
                  <c:v>1891580</c:v>
                </c:pt>
                <c:pt idx="328">
                  <c:v>2113710.0000000005</c:v>
                </c:pt>
                <c:pt idx="329">
                  <c:v>2308596</c:v>
                </c:pt>
                <c:pt idx="330">
                  <c:v>2505338</c:v>
                </c:pt>
                <c:pt idx="331">
                  <c:v>1918060</c:v>
                </c:pt>
                <c:pt idx="332">
                  <c:v>1907680</c:v>
                </c:pt>
                <c:pt idx="333">
                  <c:v>2315278</c:v>
                </c:pt>
                <c:pt idx="334">
                  <c:v>2519499</c:v>
                </c:pt>
                <c:pt idx="335">
                  <c:v>2616942</c:v>
                </c:pt>
                <c:pt idx="336">
                  <c:v>2808512</c:v>
                </c:pt>
                <c:pt idx="337">
                  <c:v>2959075</c:v>
                </c:pt>
                <c:pt idx="338">
                  <c:v>3029116</c:v>
                </c:pt>
                <c:pt idx="339">
                  <c:v>3053824</c:v>
                </c:pt>
                <c:pt idx="340">
                  <c:v>3075199</c:v>
                </c:pt>
                <c:pt idx="341">
                  <c:v>3138330</c:v>
                </c:pt>
                <c:pt idx="342">
                  <c:v>3154868</c:v>
                </c:pt>
                <c:pt idx="343">
                  <c:v>3189895.3</c:v>
                </c:pt>
                <c:pt idx="344">
                  <c:v>3286516.6</c:v>
                </c:pt>
                <c:pt idx="345">
                  <c:v>853610</c:v>
                </c:pt>
                <c:pt idx="346">
                  <c:v>1278490</c:v>
                </c:pt>
                <c:pt idx="347">
                  <c:v>451900</c:v>
                </c:pt>
                <c:pt idx="348">
                  <c:v>435550</c:v>
                </c:pt>
                <c:pt idx="349">
                  <c:v>90470</c:v>
                </c:pt>
                <c:pt idx="350">
                  <c:v>62459.999999999534</c:v>
                </c:pt>
                <c:pt idx="351">
                  <c:v>672330</c:v>
                </c:pt>
                <c:pt idx="352">
                  <c:v>1481490</c:v>
                </c:pt>
                <c:pt idx="353">
                  <c:v>1587709.9999999995</c:v>
                </c:pt>
                <c:pt idx="354">
                  <c:v>1835190.0000000005</c:v>
                </c:pt>
                <c:pt idx="355">
                  <c:v>1780700</c:v>
                </c:pt>
                <c:pt idx="356">
                  <c:v>1498410</c:v>
                </c:pt>
                <c:pt idx="357">
                  <c:v>1759409.9999999995</c:v>
                </c:pt>
                <c:pt idx="358">
                  <c:v>2205800</c:v>
                </c:pt>
                <c:pt idx="359">
                  <c:v>2390365</c:v>
                </c:pt>
                <c:pt idx="360">
                  <c:v>2548011</c:v>
                </c:pt>
                <c:pt idx="361">
                  <c:v>2661930</c:v>
                </c:pt>
                <c:pt idx="362">
                  <c:v>2780010</c:v>
                </c:pt>
                <c:pt idx="363">
                  <c:v>2974128</c:v>
                </c:pt>
                <c:pt idx="364">
                  <c:v>3012018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54-4EF2-82DE-B83109C9C1FF}"/>
            </c:ext>
          </c:extLst>
        </c:ser>
        <c:ser>
          <c:idx val="4"/>
          <c:order val="4"/>
          <c:tx>
            <c:strRef>
              <c:f>Sheet1!$N$10</c:f>
              <c:strCache>
                <c:ptCount val="1"/>
                <c:pt idx="0">
                  <c:v>観測値-計算値: 調整後_log_err_sq2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Sheet1!$N$11:$N$375</c:f>
              <c:numCache>
                <c:formatCode>#,##0_);[Red]\(#,##0\)</c:formatCode>
                <c:ptCount val="365"/>
                <c:pt idx="0">
                  <c:v>3201999.0000000005</c:v>
                </c:pt>
                <c:pt idx="1">
                  <c:v>3201999.0000000005</c:v>
                </c:pt>
                <c:pt idx="2">
                  <c:v>3201999.0000000005</c:v>
                </c:pt>
                <c:pt idx="3">
                  <c:v>3178999</c:v>
                </c:pt>
                <c:pt idx="4">
                  <c:v>3139999</c:v>
                </c:pt>
                <c:pt idx="5">
                  <c:v>3149999</c:v>
                </c:pt>
                <c:pt idx="6">
                  <c:v>3196999</c:v>
                </c:pt>
                <c:pt idx="7">
                  <c:v>2839491.0000000005</c:v>
                </c:pt>
                <c:pt idx="8">
                  <c:v>1449500</c:v>
                </c:pt>
                <c:pt idx="9">
                  <c:v>3022431</c:v>
                </c:pt>
                <c:pt idx="10">
                  <c:v>3051194.9999999995</c:v>
                </c:pt>
                <c:pt idx="11">
                  <c:v>2991274</c:v>
                </c:pt>
                <c:pt idx="12">
                  <c:v>2990876</c:v>
                </c:pt>
                <c:pt idx="13">
                  <c:v>2867710</c:v>
                </c:pt>
                <c:pt idx="14">
                  <c:v>1184400</c:v>
                </c:pt>
                <c:pt idx="15">
                  <c:v>641379.99999999953</c:v>
                </c:pt>
                <c:pt idx="16">
                  <c:v>665750.00000000047</c:v>
                </c:pt>
                <c:pt idx="17">
                  <c:v>56600</c:v>
                </c:pt>
                <c:pt idx="18">
                  <c:v>346440</c:v>
                </c:pt>
                <c:pt idx="19">
                  <c:v>651390</c:v>
                </c:pt>
                <c:pt idx="20">
                  <c:v>903650</c:v>
                </c:pt>
                <c:pt idx="21">
                  <c:v>1223630.0000000002</c:v>
                </c:pt>
                <c:pt idx="22">
                  <c:v>803589.99999999953</c:v>
                </c:pt>
                <c:pt idx="23">
                  <c:v>460830</c:v>
                </c:pt>
                <c:pt idx="24">
                  <c:v>469290</c:v>
                </c:pt>
                <c:pt idx="25">
                  <c:v>772780</c:v>
                </c:pt>
                <c:pt idx="26">
                  <c:v>1128740.0000000002</c:v>
                </c:pt>
                <c:pt idx="27">
                  <c:v>1395550</c:v>
                </c:pt>
                <c:pt idx="28">
                  <c:v>1551690</c:v>
                </c:pt>
                <c:pt idx="29">
                  <c:v>1825640</c:v>
                </c:pt>
                <c:pt idx="30">
                  <c:v>1844830.0000000005</c:v>
                </c:pt>
                <c:pt idx="31">
                  <c:v>2037110</c:v>
                </c:pt>
                <c:pt idx="32">
                  <c:v>2241330</c:v>
                </c:pt>
                <c:pt idx="33">
                  <c:v>2399124</c:v>
                </c:pt>
                <c:pt idx="34">
                  <c:v>2485804</c:v>
                </c:pt>
                <c:pt idx="35">
                  <c:v>2544281.9999999995</c:v>
                </c:pt>
                <c:pt idx="36">
                  <c:v>2621461</c:v>
                </c:pt>
                <c:pt idx="37">
                  <c:v>3036800</c:v>
                </c:pt>
                <c:pt idx="38">
                  <c:v>2371920</c:v>
                </c:pt>
                <c:pt idx="39">
                  <c:v>2363829.9999999995</c:v>
                </c:pt>
                <c:pt idx="40">
                  <c:v>2908760</c:v>
                </c:pt>
                <c:pt idx="41">
                  <c:v>1635209.9999999995</c:v>
                </c:pt>
                <c:pt idx="42">
                  <c:v>1862260</c:v>
                </c:pt>
                <c:pt idx="43">
                  <c:v>2977660</c:v>
                </c:pt>
                <c:pt idx="44">
                  <c:v>2125860</c:v>
                </c:pt>
                <c:pt idx="45">
                  <c:v>2248240</c:v>
                </c:pt>
                <c:pt idx="46">
                  <c:v>2055110</c:v>
                </c:pt>
                <c:pt idx="47">
                  <c:v>1959650</c:v>
                </c:pt>
                <c:pt idx="48">
                  <c:v>2316899.9999999995</c:v>
                </c:pt>
                <c:pt idx="49">
                  <c:v>4454809.9999999991</c:v>
                </c:pt>
                <c:pt idx="50">
                  <c:v>2648170</c:v>
                </c:pt>
                <c:pt idx="51">
                  <c:v>1977370</c:v>
                </c:pt>
                <c:pt idx="52">
                  <c:v>1942480</c:v>
                </c:pt>
                <c:pt idx="53">
                  <c:v>2236790</c:v>
                </c:pt>
                <c:pt idx="54">
                  <c:v>2231840</c:v>
                </c:pt>
                <c:pt idx="55">
                  <c:v>1738229.9999999995</c:v>
                </c:pt>
                <c:pt idx="56">
                  <c:v>1628790</c:v>
                </c:pt>
                <c:pt idx="57">
                  <c:v>1737940</c:v>
                </c:pt>
                <c:pt idx="58">
                  <c:v>1809360</c:v>
                </c:pt>
                <c:pt idx="59">
                  <c:v>2232430</c:v>
                </c:pt>
                <c:pt idx="60">
                  <c:v>983370</c:v>
                </c:pt>
                <c:pt idx="61">
                  <c:v>897679.99999999953</c:v>
                </c:pt>
                <c:pt idx="62">
                  <c:v>1160259.9999999998</c:v>
                </c:pt>
                <c:pt idx="63">
                  <c:v>1342460</c:v>
                </c:pt>
                <c:pt idx="64">
                  <c:v>1568800</c:v>
                </c:pt>
                <c:pt idx="65">
                  <c:v>1808180.0000000005</c:v>
                </c:pt>
                <c:pt idx="66">
                  <c:v>2036180</c:v>
                </c:pt>
                <c:pt idx="67">
                  <c:v>2180070</c:v>
                </c:pt>
                <c:pt idx="68">
                  <c:v>1445050</c:v>
                </c:pt>
                <c:pt idx="69">
                  <c:v>1822520</c:v>
                </c:pt>
                <c:pt idx="70">
                  <c:v>2169089.9999999995</c:v>
                </c:pt>
                <c:pt idx="71">
                  <c:v>1692250</c:v>
                </c:pt>
                <c:pt idx="72">
                  <c:v>1605909.9999999995</c:v>
                </c:pt>
                <c:pt idx="73">
                  <c:v>1789810</c:v>
                </c:pt>
                <c:pt idx="74">
                  <c:v>2045220</c:v>
                </c:pt>
                <c:pt idx="75">
                  <c:v>2264110.0000000005</c:v>
                </c:pt>
                <c:pt idx="76">
                  <c:v>2090669.9999999998</c:v>
                </c:pt>
                <c:pt idx="77">
                  <c:v>1056390</c:v>
                </c:pt>
                <c:pt idx="78">
                  <c:v>1416530</c:v>
                </c:pt>
                <c:pt idx="79">
                  <c:v>3623660</c:v>
                </c:pt>
                <c:pt idx="80">
                  <c:v>1900010</c:v>
                </c:pt>
                <c:pt idx="81">
                  <c:v>973040</c:v>
                </c:pt>
                <c:pt idx="82">
                  <c:v>1465840</c:v>
                </c:pt>
                <c:pt idx="83">
                  <c:v>290700</c:v>
                </c:pt>
                <c:pt idx="84">
                  <c:v>2528160.0000000009</c:v>
                </c:pt>
                <c:pt idx="85">
                  <c:v>881540</c:v>
                </c:pt>
                <c:pt idx="86">
                  <c:v>459740</c:v>
                </c:pt>
                <c:pt idx="87">
                  <c:v>432690</c:v>
                </c:pt>
                <c:pt idx="88">
                  <c:v>543360</c:v>
                </c:pt>
                <c:pt idx="89">
                  <c:v>671250</c:v>
                </c:pt>
                <c:pt idx="90">
                  <c:v>806080</c:v>
                </c:pt>
                <c:pt idx="91">
                  <c:v>914840</c:v>
                </c:pt>
                <c:pt idx="92">
                  <c:v>1108610</c:v>
                </c:pt>
                <c:pt idx="93">
                  <c:v>1593630</c:v>
                </c:pt>
                <c:pt idx="94">
                  <c:v>1669070</c:v>
                </c:pt>
                <c:pt idx="95">
                  <c:v>546489.99999999953</c:v>
                </c:pt>
                <c:pt idx="96">
                  <c:v>3146790</c:v>
                </c:pt>
                <c:pt idx="97">
                  <c:v>99710</c:v>
                </c:pt>
                <c:pt idx="98">
                  <c:v>42820</c:v>
                </c:pt>
                <c:pt idx="99">
                  <c:v>302699.99999999953</c:v>
                </c:pt>
                <c:pt idx="100">
                  <c:v>718970.00000000047</c:v>
                </c:pt>
                <c:pt idx="101">
                  <c:v>1659290</c:v>
                </c:pt>
                <c:pt idx="102">
                  <c:v>648850</c:v>
                </c:pt>
                <c:pt idx="103">
                  <c:v>4235980</c:v>
                </c:pt>
                <c:pt idx="104">
                  <c:v>4268990</c:v>
                </c:pt>
                <c:pt idx="105">
                  <c:v>2692700</c:v>
                </c:pt>
                <c:pt idx="106">
                  <c:v>1497440</c:v>
                </c:pt>
                <c:pt idx="107">
                  <c:v>1223400</c:v>
                </c:pt>
                <c:pt idx="108">
                  <c:v>1462880</c:v>
                </c:pt>
                <c:pt idx="109">
                  <c:v>1646410</c:v>
                </c:pt>
                <c:pt idx="110">
                  <c:v>1819410</c:v>
                </c:pt>
                <c:pt idx="111">
                  <c:v>1767740</c:v>
                </c:pt>
                <c:pt idx="112">
                  <c:v>1992240</c:v>
                </c:pt>
                <c:pt idx="113">
                  <c:v>2407970</c:v>
                </c:pt>
                <c:pt idx="114">
                  <c:v>2794340</c:v>
                </c:pt>
                <c:pt idx="115">
                  <c:v>2887180</c:v>
                </c:pt>
                <c:pt idx="116">
                  <c:v>339680</c:v>
                </c:pt>
                <c:pt idx="117">
                  <c:v>709430</c:v>
                </c:pt>
                <c:pt idx="118">
                  <c:v>4098759.9999999991</c:v>
                </c:pt>
                <c:pt idx="119">
                  <c:v>2295700</c:v>
                </c:pt>
                <c:pt idx="120">
                  <c:v>392710</c:v>
                </c:pt>
                <c:pt idx="121">
                  <c:v>589090</c:v>
                </c:pt>
                <c:pt idx="122">
                  <c:v>257890</c:v>
                </c:pt>
                <c:pt idx="123">
                  <c:v>389640</c:v>
                </c:pt>
                <c:pt idx="124">
                  <c:v>426780</c:v>
                </c:pt>
                <c:pt idx="125">
                  <c:v>5370770</c:v>
                </c:pt>
                <c:pt idx="126">
                  <c:v>73632600</c:v>
                </c:pt>
                <c:pt idx="127">
                  <c:v>29666000</c:v>
                </c:pt>
                <c:pt idx="128">
                  <c:v>3841700</c:v>
                </c:pt>
                <c:pt idx="129">
                  <c:v>1289300</c:v>
                </c:pt>
                <c:pt idx="130">
                  <c:v>1471600</c:v>
                </c:pt>
                <c:pt idx="131">
                  <c:v>1373410</c:v>
                </c:pt>
                <c:pt idx="132">
                  <c:v>775879.99999999907</c:v>
                </c:pt>
                <c:pt idx="133">
                  <c:v>1627900.0000000009</c:v>
                </c:pt>
                <c:pt idx="134">
                  <c:v>1615470</c:v>
                </c:pt>
                <c:pt idx="135">
                  <c:v>1250820</c:v>
                </c:pt>
                <c:pt idx="136">
                  <c:v>4956300</c:v>
                </c:pt>
                <c:pt idx="137">
                  <c:v>30170</c:v>
                </c:pt>
                <c:pt idx="138">
                  <c:v>756640</c:v>
                </c:pt>
                <c:pt idx="139">
                  <c:v>1133710</c:v>
                </c:pt>
                <c:pt idx="140">
                  <c:v>796070</c:v>
                </c:pt>
                <c:pt idx="141">
                  <c:v>165490</c:v>
                </c:pt>
                <c:pt idx="142">
                  <c:v>169040</c:v>
                </c:pt>
                <c:pt idx="143">
                  <c:v>535240</c:v>
                </c:pt>
                <c:pt idx="144">
                  <c:v>772840.00000000047</c:v>
                </c:pt>
                <c:pt idx="145">
                  <c:v>1167080</c:v>
                </c:pt>
                <c:pt idx="146">
                  <c:v>1384019.9999999995</c:v>
                </c:pt>
                <c:pt idx="147">
                  <c:v>1597190</c:v>
                </c:pt>
                <c:pt idx="148">
                  <c:v>2244070</c:v>
                </c:pt>
                <c:pt idx="149">
                  <c:v>6557330</c:v>
                </c:pt>
                <c:pt idx="150">
                  <c:v>34281960</c:v>
                </c:pt>
                <c:pt idx="151">
                  <c:v>6380410</c:v>
                </c:pt>
                <c:pt idx="152">
                  <c:v>5328600.0000000019</c:v>
                </c:pt>
                <c:pt idx="153">
                  <c:v>3711350</c:v>
                </c:pt>
                <c:pt idx="154">
                  <c:v>2076440</c:v>
                </c:pt>
                <c:pt idx="155">
                  <c:v>1800390</c:v>
                </c:pt>
                <c:pt idx="156">
                  <c:v>5300790</c:v>
                </c:pt>
                <c:pt idx="157">
                  <c:v>2952750</c:v>
                </c:pt>
                <c:pt idx="158">
                  <c:v>9770050</c:v>
                </c:pt>
                <c:pt idx="159">
                  <c:v>11270170</c:v>
                </c:pt>
                <c:pt idx="160">
                  <c:v>6094790</c:v>
                </c:pt>
                <c:pt idx="161">
                  <c:v>2284100</c:v>
                </c:pt>
                <c:pt idx="162">
                  <c:v>1453340.0000000009</c:v>
                </c:pt>
                <c:pt idx="163">
                  <c:v>1591670</c:v>
                </c:pt>
                <c:pt idx="164">
                  <c:v>1407730</c:v>
                </c:pt>
                <c:pt idx="165">
                  <c:v>2239040</c:v>
                </c:pt>
                <c:pt idx="166">
                  <c:v>2937570.0000000009</c:v>
                </c:pt>
                <c:pt idx="167">
                  <c:v>2688580</c:v>
                </c:pt>
                <c:pt idx="168">
                  <c:v>2725170</c:v>
                </c:pt>
                <c:pt idx="169">
                  <c:v>2809910</c:v>
                </c:pt>
                <c:pt idx="170">
                  <c:v>2678320</c:v>
                </c:pt>
                <c:pt idx="171">
                  <c:v>3772420</c:v>
                </c:pt>
                <c:pt idx="172">
                  <c:v>450930</c:v>
                </c:pt>
                <c:pt idx="173">
                  <c:v>662420</c:v>
                </c:pt>
                <c:pt idx="174">
                  <c:v>515760</c:v>
                </c:pt>
                <c:pt idx="175">
                  <c:v>214900</c:v>
                </c:pt>
                <c:pt idx="176">
                  <c:v>1848180</c:v>
                </c:pt>
                <c:pt idx="177">
                  <c:v>2219200</c:v>
                </c:pt>
                <c:pt idx="178">
                  <c:v>156120</c:v>
                </c:pt>
                <c:pt idx="179">
                  <c:v>5105270</c:v>
                </c:pt>
                <c:pt idx="180">
                  <c:v>140113900</c:v>
                </c:pt>
                <c:pt idx="181">
                  <c:v>180559300</c:v>
                </c:pt>
                <c:pt idx="182">
                  <c:v>39899100.000000007</c:v>
                </c:pt>
                <c:pt idx="183">
                  <c:v>153018800</c:v>
                </c:pt>
                <c:pt idx="184">
                  <c:v>10810500</c:v>
                </c:pt>
                <c:pt idx="185">
                  <c:v>3102900</c:v>
                </c:pt>
                <c:pt idx="186">
                  <c:v>7876500</c:v>
                </c:pt>
                <c:pt idx="187">
                  <c:v>7736200</c:v>
                </c:pt>
                <c:pt idx="188">
                  <c:v>6909700</c:v>
                </c:pt>
                <c:pt idx="189">
                  <c:v>77036300</c:v>
                </c:pt>
                <c:pt idx="190">
                  <c:v>187829999.99999997</c:v>
                </c:pt>
                <c:pt idx="191">
                  <c:v>5113200</c:v>
                </c:pt>
                <c:pt idx="192">
                  <c:v>5354300</c:v>
                </c:pt>
                <c:pt idx="193">
                  <c:v>18057500</c:v>
                </c:pt>
                <c:pt idx="194">
                  <c:v>18251900</c:v>
                </c:pt>
                <c:pt idx="195">
                  <c:v>21481300</c:v>
                </c:pt>
                <c:pt idx="196">
                  <c:v>15312600</c:v>
                </c:pt>
                <c:pt idx="197">
                  <c:v>13503500</c:v>
                </c:pt>
                <c:pt idx="198">
                  <c:v>10909100</c:v>
                </c:pt>
                <c:pt idx="199">
                  <c:v>7698700</c:v>
                </c:pt>
                <c:pt idx="200">
                  <c:v>8091900</c:v>
                </c:pt>
                <c:pt idx="201">
                  <c:v>7802500</c:v>
                </c:pt>
                <c:pt idx="202">
                  <c:v>6257600</c:v>
                </c:pt>
                <c:pt idx="203">
                  <c:v>5983900</c:v>
                </c:pt>
                <c:pt idx="204">
                  <c:v>3768100.0000000009</c:v>
                </c:pt>
                <c:pt idx="205">
                  <c:v>865200</c:v>
                </c:pt>
                <c:pt idx="206">
                  <c:v>4998400</c:v>
                </c:pt>
                <c:pt idx="207">
                  <c:v>1485250</c:v>
                </c:pt>
                <c:pt idx="208">
                  <c:v>1571900</c:v>
                </c:pt>
                <c:pt idx="209">
                  <c:v>1454300</c:v>
                </c:pt>
                <c:pt idx="210">
                  <c:v>446210</c:v>
                </c:pt>
                <c:pt idx="211">
                  <c:v>103130</c:v>
                </c:pt>
                <c:pt idx="212">
                  <c:v>109980</c:v>
                </c:pt>
                <c:pt idx="213">
                  <c:v>289110</c:v>
                </c:pt>
                <c:pt idx="214">
                  <c:v>398030.00000000047</c:v>
                </c:pt>
                <c:pt idx="215">
                  <c:v>615769.99999999953</c:v>
                </c:pt>
                <c:pt idx="216">
                  <c:v>749600</c:v>
                </c:pt>
                <c:pt idx="217">
                  <c:v>931530</c:v>
                </c:pt>
                <c:pt idx="218">
                  <c:v>1801590</c:v>
                </c:pt>
                <c:pt idx="219">
                  <c:v>2615090</c:v>
                </c:pt>
                <c:pt idx="220">
                  <c:v>11883790</c:v>
                </c:pt>
                <c:pt idx="221">
                  <c:v>11852880</c:v>
                </c:pt>
                <c:pt idx="222">
                  <c:v>1039479.9999999991</c:v>
                </c:pt>
                <c:pt idx="223">
                  <c:v>814670</c:v>
                </c:pt>
                <c:pt idx="224">
                  <c:v>1019120</c:v>
                </c:pt>
                <c:pt idx="225">
                  <c:v>777440</c:v>
                </c:pt>
                <c:pt idx="226">
                  <c:v>543090</c:v>
                </c:pt>
                <c:pt idx="227">
                  <c:v>29449.999999999534</c:v>
                </c:pt>
                <c:pt idx="228">
                  <c:v>3837800</c:v>
                </c:pt>
                <c:pt idx="229">
                  <c:v>1466190</c:v>
                </c:pt>
                <c:pt idx="230">
                  <c:v>588970</c:v>
                </c:pt>
                <c:pt idx="231">
                  <c:v>5639.9999999995343</c:v>
                </c:pt>
                <c:pt idx="232">
                  <c:v>494010</c:v>
                </c:pt>
                <c:pt idx="233">
                  <c:v>451040.00000000047</c:v>
                </c:pt>
                <c:pt idx="234">
                  <c:v>1109110</c:v>
                </c:pt>
                <c:pt idx="235">
                  <c:v>1348090.0000000005</c:v>
                </c:pt>
                <c:pt idx="236">
                  <c:v>3177180</c:v>
                </c:pt>
                <c:pt idx="237">
                  <c:v>2220270</c:v>
                </c:pt>
                <c:pt idx="238">
                  <c:v>2774930</c:v>
                </c:pt>
                <c:pt idx="239">
                  <c:v>1848710.0000000005</c:v>
                </c:pt>
                <c:pt idx="240">
                  <c:v>2495760</c:v>
                </c:pt>
                <c:pt idx="241">
                  <c:v>1775710</c:v>
                </c:pt>
                <c:pt idx="242">
                  <c:v>2430700</c:v>
                </c:pt>
                <c:pt idx="243">
                  <c:v>2618969.9999999995</c:v>
                </c:pt>
                <c:pt idx="244">
                  <c:v>1536149.9999999995</c:v>
                </c:pt>
                <c:pt idx="245">
                  <c:v>1535310</c:v>
                </c:pt>
                <c:pt idx="246">
                  <c:v>1573610</c:v>
                </c:pt>
                <c:pt idx="247">
                  <c:v>1610010</c:v>
                </c:pt>
                <c:pt idx="248">
                  <c:v>899880</c:v>
                </c:pt>
                <c:pt idx="249">
                  <c:v>1083850</c:v>
                </c:pt>
                <c:pt idx="250">
                  <c:v>1279680</c:v>
                </c:pt>
                <c:pt idx="251">
                  <c:v>1355690</c:v>
                </c:pt>
                <c:pt idx="252">
                  <c:v>1671160</c:v>
                </c:pt>
                <c:pt idx="253">
                  <c:v>1498370</c:v>
                </c:pt>
                <c:pt idx="254">
                  <c:v>1898580</c:v>
                </c:pt>
                <c:pt idx="255">
                  <c:v>1661350</c:v>
                </c:pt>
                <c:pt idx="256">
                  <c:v>1984380</c:v>
                </c:pt>
                <c:pt idx="257">
                  <c:v>44710</c:v>
                </c:pt>
                <c:pt idx="258">
                  <c:v>200540</c:v>
                </c:pt>
                <c:pt idx="259">
                  <c:v>412390</c:v>
                </c:pt>
                <c:pt idx="260">
                  <c:v>104600</c:v>
                </c:pt>
                <c:pt idx="261">
                  <c:v>166010</c:v>
                </c:pt>
                <c:pt idx="262">
                  <c:v>391450</c:v>
                </c:pt>
                <c:pt idx="263">
                  <c:v>857730</c:v>
                </c:pt>
                <c:pt idx="264">
                  <c:v>545160</c:v>
                </c:pt>
                <c:pt idx="265">
                  <c:v>87710</c:v>
                </c:pt>
                <c:pt idx="266">
                  <c:v>186600</c:v>
                </c:pt>
                <c:pt idx="267">
                  <c:v>446720</c:v>
                </c:pt>
                <c:pt idx="268">
                  <c:v>814480</c:v>
                </c:pt>
                <c:pt idx="269">
                  <c:v>958180</c:v>
                </c:pt>
                <c:pt idx="270">
                  <c:v>1070800</c:v>
                </c:pt>
                <c:pt idx="271">
                  <c:v>1285000</c:v>
                </c:pt>
                <c:pt idx="272">
                  <c:v>1395020</c:v>
                </c:pt>
                <c:pt idx="273">
                  <c:v>1533946</c:v>
                </c:pt>
                <c:pt idx="274">
                  <c:v>1605766</c:v>
                </c:pt>
                <c:pt idx="275">
                  <c:v>1846994</c:v>
                </c:pt>
                <c:pt idx="276">
                  <c:v>2090805</c:v>
                </c:pt>
                <c:pt idx="277">
                  <c:v>2262167</c:v>
                </c:pt>
                <c:pt idx="278">
                  <c:v>2263789</c:v>
                </c:pt>
                <c:pt idx="279">
                  <c:v>2380367</c:v>
                </c:pt>
                <c:pt idx="280">
                  <c:v>1688860</c:v>
                </c:pt>
                <c:pt idx="281">
                  <c:v>402809.99999999953</c:v>
                </c:pt>
                <c:pt idx="282">
                  <c:v>319960</c:v>
                </c:pt>
                <c:pt idx="283">
                  <c:v>563690</c:v>
                </c:pt>
                <c:pt idx="284">
                  <c:v>1076560</c:v>
                </c:pt>
                <c:pt idx="285">
                  <c:v>1293260</c:v>
                </c:pt>
                <c:pt idx="286">
                  <c:v>1473980</c:v>
                </c:pt>
                <c:pt idx="287">
                  <c:v>1635850</c:v>
                </c:pt>
                <c:pt idx="288">
                  <c:v>1765130</c:v>
                </c:pt>
                <c:pt idx="289">
                  <c:v>1845048</c:v>
                </c:pt>
                <c:pt idx="290">
                  <c:v>2012167</c:v>
                </c:pt>
                <c:pt idx="291">
                  <c:v>2189173</c:v>
                </c:pt>
                <c:pt idx="292">
                  <c:v>2492158</c:v>
                </c:pt>
                <c:pt idx="293">
                  <c:v>2303034</c:v>
                </c:pt>
                <c:pt idx="294">
                  <c:v>2325216</c:v>
                </c:pt>
                <c:pt idx="295">
                  <c:v>2406819</c:v>
                </c:pt>
                <c:pt idx="296">
                  <c:v>2612407</c:v>
                </c:pt>
                <c:pt idx="297">
                  <c:v>2545428</c:v>
                </c:pt>
                <c:pt idx="298">
                  <c:v>2465389</c:v>
                </c:pt>
                <c:pt idx="299">
                  <c:v>2594083</c:v>
                </c:pt>
                <c:pt idx="300">
                  <c:v>2464856</c:v>
                </c:pt>
                <c:pt idx="301">
                  <c:v>2640150</c:v>
                </c:pt>
                <c:pt idx="302">
                  <c:v>2540869</c:v>
                </c:pt>
                <c:pt idx="303">
                  <c:v>2663721</c:v>
                </c:pt>
                <c:pt idx="304">
                  <c:v>2713576</c:v>
                </c:pt>
                <c:pt idx="305">
                  <c:v>2807001</c:v>
                </c:pt>
                <c:pt idx="306">
                  <c:v>2811010</c:v>
                </c:pt>
                <c:pt idx="307">
                  <c:v>2836313</c:v>
                </c:pt>
                <c:pt idx="308">
                  <c:v>2858447</c:v>
                </c:pt>
                <c:pt idx="309">
                  <c:v>2908839</c:v>
                </c:pt>
                <c:pt idx="310">
                  <c:v>923910</c:v>
                </c:pt>
                <c:pt idx="311">
                  <c:v>1399940</c:v>
                </c:pt>
                <c:pt idx="312">
                  <c:v>1635930</c:v>
                </c:pt>
                <c:pt idx="313">
                  <c:v>1850300</c:v>
                </c:pt>
                <c:pt idx="314">
                  <c:v>1240100</c:v>
                </c:pt>
                <c:pt idx="315">
                  <c:v>1681910</c:v>
                </c:pt>
                <c:pt idx="316">
                  <c:v>1889090</c:v>
                </c:pt>
                <c:pt idx="317">
                  <c:v>1949470</c:v>
                </c:pt>
                <c:pt idx="318">
                  <c:v>2282540</c:v>
                </c:pt>
                <c:pt idx="319">
                  <c:v>2371436</c:v>
                </c:pt>
                <c:pt idx="320">
                  <c:v>927860</c:v>
                </c:pt>
                <c:pt idx="321">
                  <c:v>1128400.0000000005</c:v>
                </c:pt>
                <c:pt idx="322">
                  <c:v>1189870</c:v>
                </c:pt>
                <c:pt idx="323">
                  <c:v>1352910</c:v>
                </c:pt>
                <c:pt idx="324">
                  <c:v>1551040</c:v>
                </c:pt>
                <c:pt idx="325">
                  <c:v>1897600</c:v>
                </c:pt>
                <c:pt idx="326">
                  <c:v>2106390</c:v>
                </c:pt>
                <c:pt idx="327">
                  <c:v>2243180</c:v>
                </c:pt>
                <c:pt idx="328">
                  <c:v>2306056.0000000005</c:v>
                </c:pt>
                <c:pt idx="329">
                  <c:v>2388953</c:v>
                </c:pt>
                <c:pt idx="330">
                  <c:v>2504552</c:v>
                </c:pt>
                <c:pt idx="331">
                  <c:v>2421509</c:v>
                </c:pt>
                <c:pt idx="332">
                  <c:v>2481019</c:v>
                </c:pt>
                <c:pt idx="333">
                  <c:v>2542120</c:v>
                </c:pt>
                <c:pt idx="334">
                  <c:v>2598202</c:v>
                </c:pt>
                <c:pt idx="335">
                  <c:v>2619532</c:v>
                </c:pt>
                <c:pt idx="336">
                  <c:v>2765139</c:v>
                </c:pt>
                <c:pt idx="337">
                  <c:v>2884973</c:v>
                </c:pt>
                <c:pt idx="338">
                  <c:v>2936691</c:v>
                </c:pt>
                <c:pt idx="339">
                  <c:v>2949746</c:v>
                </c:pt>
                <c:pt idx="340">
                  <c:v>2965177</c:v>
                </c:pt>
                <c:pt idx="341">
                  <c:v>3028602</c:v>
                </c:pt>
                <c:pt idx="342">
                  <c:v>3047813</c:v>
                </c:pt>
                <c:pt idx="343">
                  <c:v>3086536</c:v>
                </c:pt>
                <c:pt idx="344">
                  <c:v>3188910</c:v>
                </c:pt>
                <c:pt idx="345">
                  <c:v>1865790</c:v>
                </c:pt>
                <c:pt idx="346">
                  <c:v>2049100</c:v>
                </c:pt>
                <c:pt idx="347">
                  <c:v>2226950</c:v>
                </c:pt>
                <c:pt idx="348">
                  <c:v>2004880</c:v>
                </c:pt>
                <c:pt idx="349">
                  <c:v>2127710</c:v>
                </c:pt>
                <c:pt idx="350">
                  <c:v>1914159.9999999995</c:v>
                </c:pt>
                <c:pt idx="351">
                  <c:v>2132620</c:v>
                </c:pt>
                <c:pt idx="352">
                  <c:v>2350792</c:v>
                </c:pt>
                <c:pt idx="353">
                  <c:v>2375592.9999999995</c:v>
                </c:pt>
                <c:pt idx="354">
                  <c:v>2474940.0000000005</c:v>
                </c:pt>
                <c:pt idx="355">
                  <c:v>2382897</c:v>
                </c:pt>
                <c:pt idx="356">
                  <c:v>2330374</c:v>
                </c:pt>
                <c:pt idx="357">
                  <c:v>2428501.9999999995</c:v>
                </c:pt>
                <c:pt idx="358">
                  <c:v>2558893</c:v>
                </c:pt>
                <c:pt idx="359">
                  <c:v>2585751</c:v>
                </c:pt>
                <c:pt idx="360">
                  <c:v>2648421</c:v>
                </c:pt>
                <c:pt idx="361">
                  <c:v>2697954</c:v>
                </c:pt>
                <c:pt idx="362">
                  <c:v>2770036</c:v>
                </c:pt>
                <c:pt idx="363">
                  <c:v>2932706</c:v>
                </c:pt>
                <c:pt idx="364">
                  <c:v>2948674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54-4EF2-82DE-B83109C9C1FF}"/>
            </c:ext>
          </c:extLst>
        </c:ser>
        <c:ser>
          <c:idx val="5"/>
          <c:order val="5"/>
          <c:tx>
            <c:strRef>
              <c:f>Sheet1!$O$10</c:f>
              <c:strCache>
                <c:ptCount val="1"/>
                <c:pt idx="0">
                  <c:v>観測値-計算値: 調整後_log_err_sq3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Sheet1!$O$11:$O$375</c:f>
              <c:numCache>
                <c:formatCode>#,##0_);[Red]\(#,##0\)</c:formatCode>
                <c:ptCount val="365"/>
                <c:pt idx="0">
                  <c:v>3201999.0000000005</c:v>
                </c:pt>
                <c:pt idx="1">
                  <c:v>3201999.0000000005</c:v>
                </c:pt>
                <c:pt idx="2">
                  <c:v>3201999.0000000005</c:v>
                </c:pt>
                <c:pt idx="3">
                  <c:v>3178999</c:v>
                </c:pt>
                <c:pt idx="4">
                  <c:v>3139999</c:v>
                </c:pt>
                <c:pt idx="5">
                  <c:v>3149999</c:v>
                </c:pt>
                <c:pt idx="6">
                  <c:v>3196999</c:v>
                </c:pt>
                <c:pt idx="7">
                  <c:v>2963829.0000000005</c:v>
                </c:pt>
                <c:pt idx="8">
                  <c:v>1351090</c:v>
                </c:pt>
                <c:pt idx="9">
                  <c:v>3112887</c:v>
                </c:pt>
                <c:pt idx="10">
                  <c:v>3128173.9999999995</c:v>
                </c:pt>
                <c:pt idx="11">
                  <c:v>3056675</c:v>
                </c:pt>
                <c:pt idx="12">
                  <c:v>3064634</c:v>
                </c:pt>
                <c:pt idx="13">
                  <c:v>3978990</c:v>
                </c:pt>
                <c:pt idx="14">
                  <c:v>574040</c:v>
                </c:pt>
                <c:pt idx="15">
                  <c:v>893200.00000000047</c:v>
                </c:pt>
                <c:pt idx="16">
                  <c:v>691489.99999999953</c:v>
                </c:pt>
                <c:pt idx="17">
                  <c:v>3350540</c:v>
                </c:pt>
                <c:pt idx="18">
                  <c:v>1366370</c:v>
                </c:pt>
                <c:pt idx="19">
                  <c:v>1525680</c:v>
                </c:pt>
                <c:pt idx="20">
                  <c:v>1651410</c:v>
                </c:pt>
                <c:pt idx="21">
                  <c:v>1860860</c:v>
                </c:pt>
                <c:pt idx="22">
                  <c:v>1719099.9999999998</c:v>
                </c:pt>
                <c:pt idx="23">
                  <c:v>3124040</c:v>
                </c:pt>
                <c:pt idx="24">
                  <c:v>1314540</c:v>
                </c:pt>
                <c:pt idx="25">
                  <c:v>1493720</c:v>
                </c:pt>
                <c:pt idx="26">
                  <c:v>1742510</c:v>
                </c:pt>
                <c:pt idx="27">
                  <c:v>1916620</c:v>
                </c:pt>
                <c:pt idx="28">
                  <c:v>1992570</c:v>
                </c:pt>
                <c:pt idx="29">
                  <c:v>2259710</c:v>
                </c:pt>
                <c:pt idx="30">
                  <c:v>2191820.0000000005</c:v>
                </c:pt>
                <c:pt idx="31">
                  <c:v>2327138</c:v>
                </c:pt>
                <c:pt idx="32">
                  <c:v>2482898</c:v>
                </c:pt>
                <c:pt idx="33">
                  <c:v>2599265</c:v>
                </c:pt>
                <c:pt idx="34">
                  <c:v>2650802</c:v>
                </c:pt>
                <c:pt idx="35">
                  <c:v>2678428.9999999995</c:v>
                </c:pt>
                <c:pt idx="36">
                  <c:v>2729067</c:v>
                </c:pt>
                <c:pt idx="37">
                  <c:v>3265309</c:v>
                </c:pt>
                <c:pt idx="38">
                  <c:v>2811740</c:v>
                </c:pt>
                <c:pt idx="39">
                  <c:v>2736213.9999999995</c:v>
                </c:pt>
                <c:pt idx="40">
                  <c:v>3223809</c:v>
                </c:pt>
                <c:pt idx="41">
                  <c:v>2258920.0000000005</c:v>
                </c:pt>
                <c:pt idx="42">
                  <c:v>2346640</c:v>
                </c:pt>
                <c:pt idx="43">
                  <c:v>3815100</c:v>
                </c:pt>
                <c:pt idx="44">
                  <c:v>2949470</c:v>
                </c:pt>
                <c:pt idx="45">
                  <c:v>2952280</c:v>
                </c:pt>
                <c:pt idx="46">
                  <c:v>2655580</c:v>
                </c:pt>
                <c:pt idx="47">
                  <c:v>2469620</c:v>
                </c:pt>
                <c:pt idx="48">
                  <c:v>2749949.9999999995</c:v>
                </c:pt>
                <c:pt idx="49">
                  <c:v>538839.99999999907</c:v>
                </c:pt>
                <c:pt idx="50">
                  <c:v>3834450</c:v>
                </c:pt>
                <c:pt idx="51">
                  <c:v>2993260</c:v>
                </c:pt>
                <c:pt idx="52">
                  <c:v>2811430</c:v>
                </c:pt>
                <c:pt idx="53">
                  <c:v>2978270</c:v>
                </c:pt>
                <c:pt idx="54">
                  <c:v>2863250</c:v>
                </c:pt>
                <c:pt idx="55">
                  <c:v>2083450.0000000005</c:v>
                </c:pt>
                <c:pt idx="56">
                  <c:v>2238130</c:v>
                </c:pt>
                <c:pt idx="57">
                  <c:v>2254150</c:v>
                </c:pt>
                <c:pt idx="58">
                  <c:v>2244420</c:v>
                </c:pt>
                <c:pt idx="59">
                  <c:v>2597330</c:v>
                </c:pt>
                <c:pt idx="60">
                  <c:v>1822430.0000000002</c:v>
                </c:pt>
                <c:pt idx="61">
                  <c:v>1612489.9999999995</c:v>
                </c:pt>
                <c:pt idx="62">
                  <c:v>2748710</c:v>
                </c:pt>
                <c:pt idx="63">
                  <c:v>1857020</c:v>
                </c:pt>
                <c:pt idx="64">
                  <c:v>2002590</c:v>
                </c:pt>
                <c:pt idx="65">
                  <c:v>2172120.0000000005</c:v>
                </c:pt>
                <c:pt idx="66">
                  <c:v>2339941</c:v>
                </c:pt>
                <c:pt idx="67">
                  <c:v>2432350</c:v>
                </c:pt>
                <c:pt idx="68">
                  <c:v>1903370</c:v>
                </c:pt>
                <c:pt idx="69">
                  <c:v>2208670</c:v>
                </c:pt>
                <c:pt idx="70">
                  <c:v>1977580.0000000005</c:v>
                </c:pt>
                <c:pt idx="71">
                  <c:v>2265850</c:v>
                </c:pt>
                <c:pt idx="72">
                  <c:v>2092739.9999999995</c:v>
                </c:pt>
                <c:pt idx="73">
                  <c:v>2200740</c:v>
                </c:pt>
                <c:pt idx="74">
                  <c:v>2390628</c:v>
                </c:pt>
                <c:pt idx="75">
                  <c:v>2554763.0000000005</c:v>
                </c:pt>
                <c:pt idx="76">
                  <c:v>2689830</c:v>
                </c:pt>
                <c:pt idx="77">
                  <c:v>1690880</c:v>
                </c:pt>
                <c:pt idx="78">
                  <c:v>1955390</c:v>
                </c:pt>
                <c:pt idx="79">
                  <c:v>386370</c:v>
                </c:pt>
                <c:pt idx="80">
                  <c:v>3475280</c:v>
                </c:pt>
                <c:pt idx="81">
                  <c:v>2342400</c:v>
                </c:pt>
                <c:pt idx="82">
                  <c:v>507630</c:v>
                </c:pt>
                <c:pt idx="83">
                  <c:v>3011950.0000000009</c:v>
                </c:pt>
                <c:pt idx="84">
                  <c:v>4095280.0000000009</c:v>
                </c:pt>
                <c:pt idx="85">
                  <c:v>2649480</c:v>
                </c:pt>
                <c:pt idx="86">
                  <c:v>2503230</c:v>
                </c:pt>
                <c:pt idx="87">
                  <c:v>1724050</c:v>
                </c:pt>
                <c:pt idx="88">
                  <c:v>1642470</c:v>
                </c:pt>
                <c:pt idx="89">
                  <c:v>1605760</c:v>
                </c:pt>
                <c:pt idx="90">
                  <c:v>2909860</c:v>
                </c:pt>
                <c:pt idx="91">
                  <c:v>1581860</c:v>
                </c:pt>
                <c:pt idx="92">
                  <c:v>1668480</c:v>
                </c:pt>
                <c:pt idx="93">
                  <c:v>2060890</c:v>
                </c:pt>
                <c:pt idx="94">
                  <c:v>2058000</c:v>
                </c:pt>
                <c:pt idx="95">
                  <c:v>1278029.9999999995</c:v>
                </c:pt>
                <c:pt idx="96">
                  <c:v>470470</c:v>
                </c:pt>
                <c:pt idx="97">
                  <c:v>1684070</c:v>
                </c:pt>
                <c:pt idx="98">
                  <c:v>1396800</c:v>
                </c:pt>
                <c:pt idx="99">
                  <c:v>1456559.9999999995</c:v>
                </c:pt>
                <c:pt idx="100">
                  <c:v>2845519.9999999995</c:v>
                </c:pt>
                <c:pt idx="101">
                  <c:v>2491390</c:v>
                </c:pt>
                <c:pt idx="102">
                  <c:v>764820</c:v>
                </c:pt>
                <c:pt idx="103">
                  <c:v>1427550</c:v>
                </c:pt>
                <c:pt idx="104">
                  <c:v>1481830</c:v>
                </c:pt>
                <c:pt idx="105">
                  <c:v>4885750</c:v>
                </c:pt>
                <c:pt idx="106">
                  <c:v>3392720</c:v>
                </c:pt>
                <c:pt idx="107">
                  <c:v>1765070</c:v>
                </c:pt>
                <c:pt idx="108">
                  <c:v>2841090</c:v>
                </c:pt>
                <c:pt idx="109">
                  <c:v>2819000</c:v>
                </c:pt>
                <c:pt idx="110">
                  <c:v>1704970</c:v>
                </c:pt>
                <c:pt idx="111">
                  <c:v>2652400</c:v>
                </c:pt>
                <c:pt idx="112">
                  <c:v>2736630</c:v>
                </c:pt>
                <c:pt idx="113">
                  <c:v>3031880</c:v>
                </c:pt>
                <c:pt idx="114">
                  <c:v>1208150</c:v>
                </c:pt>
                <c:pt idx="115">
                  <c:v>4494260</c:v>
                </c:pt>
                <c:pt idx="116">
                  <c:v>1870160</c:v>
                </c:pt>
                <c:pt idx="117">
                  <c:v>2012470</c:v>
                </c:pt>
                <c:pt idx="118">
                  <c:v>622359.99999999907</c:v>
                </c:pt>
                <c:pt idx="119">
                  <c:v>5579230</c:v>
                </c:pt>
                <c:pt idx="120">
                  <c:v>2069300</c:v>
                </c:pt>
                <c:pt idx="121">
                  <c:v>1837580</c:v>
                </c:pt>
                <c:pt idx="122">
                  <c:v>2708340</c:v>
                </c:pt>
                <c:pt idx="123">
                  <c:v>2155730</c:v>
                </c:pt>
                <c:pt idx="124">
                  <c:v>2125220</c:v>
                </c:pt>
                <c:pt idx="125">
                  <c:v>2191339.9999999991</c:v>
                </c:pt>
                <c:pt idx="126">
                  <c:v>77326310</c:v>
                </c:pt>
                <c:pt idx="127">
                  <c:v>30370100</c:v>
                </c:pt>
                <c:pt idx="128">
                  <c:v>3828400</c:v>
                </c:pt>
                <c:pt idx="129">
                  <c:v>1885500</c:v>
                </c:pt>
                <c:pt idx="130">
                  <c:v>1883470</c:v>
                </c:pt>
                <c:pt idx="131">
                  <c:v>3245200</c:v>
                </c:pt>
                <c:pt idx="132">
                  <c:v>2886300</c:v>
                </c:pt>
                <c:pt idx="133">
                  <c:v>1062449.9999999991</c:v>
                </c:pt>
                <c:pt idx="134">
                  <c:v>3953700</c:v>
                </c:pt>
                <c:pt idx="135">
                  <c:v>686290</c:v>
                </c:pt>
                <c:pt idx="136">
                  <c:v>3493810</c:v>
                </c:pt>
                <c:pt idx="137">
                  <c:v>1405150</c:v>
                </c:pt>
                <c:pt idx="138">
                  <c:v>2580490.0000000009</c:v>
                </c:pt>
                <c:pt idx="139">
                  <c:v>584460</c:v>
                </c:pt>
                <c:pt idx="140">
                  <c:v>3824110</c:v>
                </c:pt>
                <c:pt idx="141">
                  <c:v>1053840</c:v>
                </c:pt>
                <c:pt idx="142">
                  <c:v>1191220</c:v>
                </c:pt>
                <c:pt idx="143">
                  <c:v>3142580</c:v>
                </c:pt>
                <c:pt idx="144">
                  <c:v>1476980.0000000005</c:v>
                </c:pt>
                <c:pt idx="145">
                  <c:v>1747610</c:v>
                </c:pt>
                <c:pt idx="146">
                  <c:v>1858589.9999999995</c:v>
                </c:pt>
                <c:pt idx="147">
                  <c:v>2562860</c:v>
                </c:pt>
                <c:pt idx="148">
                  <c:v>2551440</c:v>
                </c:pt>
                <c:pt idx="149">
                  <c:v>6818360</c:v>
                </c:pt>
                <c:pt idx="150">
                  <c:v>35996290</c:v>
                </c:pt>
                <c:pt idx="151">
                  <c:v>4595000</c:v>
                </c:pt>
                <c:pt idx="152">
                  <c:v>7923550.0000000019</c:v>
                </c:pt>
                <c:pt idx="153">
                  <c:v>1490930</c:v>
                </c:pt>
                <c:pt idx="154">
                  <c:v>4043470</c:v>
                </c:pt>
                <c:pt idx="155">
                  <c:v>1015440</c:v>
                </c:pt>
                <c:pt idx="156">
                  <c:v>6721940</c:v>
                </c:pt>
                <c:pt idx="157">
                  <c:v>5044340</c:v>
                </c:pt>
                <c:pt idx="158">
                  <c:v>6965900</c:v>
                </c:pt>
                <c:pt idx="159">
                  <c:v>13742620</c:v>
                </c:pt>
                <c:pt idx="160">
                  <c:v>3659980</c:v>
                </c:pt>
                <c:pt idx="161">
                  <c:v>4116200</c:v>
                </c:pt>
                <c:pt idx="162">
                  <c:v>1484399.9999999991</c:v>
                </c:pt>
                <c:pt idx="163">
                  <c:v>2908300</c:v>
                </c:pt>
                <c:pt idx="164">
                  <c:v>2519390</c:v>
                </c:pt>
                <c:pt idx="165">
                  <c:v>1345350</c:v>
                </c:pt>
                <c:pt idx="166">
                  <c:v>3826060.0000000009</c:v>
                </c:pt>
                <c:pt idx="167">
                  <c:v>3430180</c:v>
                </c:pt>
                <c:pt idx="168">
                  <c:v>3339990</c:v>
                </c:pt>
                <c:pt idx="169">
                  <c:v>1215450</c:v>
                </c:pt>
                <c:pt idx="170">
                  <c:v>3093930</c:v>
                </c:pt>
                <c:pt idx="171">
                  <c:v>4109470</c:v>
                </c:pt>
                <c:pt idx="172">
                  <c:v>815910</c:v>
                </c:pt>
                <c:pt idx="173">
                  <c:v>4034949.9999999995</c:v>
                </c:pt>
                <c:pt idx="174">
                  <c:v>409410</c:v>
                </c:pt>
                <c:pt idx="175">
                  <c:v>995070</c:v>
                </c:pt>
                <c:pt idx="176">
                  <c:v>69160</c:v>
                </c:pt>
                <c:pt idx="177">
                  <c:v>4968270</c:v>
                </c:pt>
                <c:pt idx="178">
                  <c:v>2162190</c:v>
                </c:pt>
                <c:pt idx="179">
                  <c:v>2885110</c:v>
                </c:pt>
                <c:pt idx="180">
                  <c:v>147402050</c:v>
                </c:pt>
                <c:pt idx="181">
                  <c:v>183606700</c:v>
                </c:pt>
                <c:pt idx="182">
                  <c:v>42775000.000000007</c:v>
                </c:pt>
                <c:pt idx="183">
                  <c:v>155704600</c:v>
                </c:pt>
                <c:pt idx="184">
                  <c:v>19634900</c:v>
                </c:pt>
                <c:pt idx="185">
                  <c:v>3311600</c:v>
                </c:pt>
                <c:pt idx="186">
                  <c:v>3052000</c:v>
                </c:pt>
                <c:pt idx="187">
                  <c:v>10758000</c:v>
                </c:pt>
                <c:pt idx="188">
                  <c:v>9597600</c:v>
                </c:pt>
                <c:pt idx="189">
                  <c:v>83078300</c:v>
                </c:pt>
                <c:pt idx="190">
                  <c:v>191297999.99999997</c:v>
                </c:pt>
                <c:pt idx="191">
                  <c:v>961400</c:v>
                </c:pt>
                <c:pt idx="192">
                  <c:v>8111400</c:v>
                </c:pt>
                <c:pt idx="193">
                  <c:v>12839700</c:v>
                </c:pt>
                <c:pt idx="194">
                  <c:v>15753600</c:v>
                </c:pt>
                <c:pt idx="195">
                  <c:v>15540500</c:v>
                </c:pt>
                <c:pt idx="196">
                  <c:v>14361000</c:v>
                </c:pt>
                <c:pt idx="197">
                  <c:v>13208600</c:v>
                </c:pt>
                <c:pt idx="198">
                  <c:v>11059300</c:v>
                </c:pt>
                <c:pt idx="199">
                  <c:v>8132200</c:v>
                </c:pt>
                <c:pt idx="200">
                  <c:v>8169200</c:v>
                </c:pt>
                <c:pt idx="201">
                  <c:v>8661800</c:v>
                </c:pt>
                <c:pt idx="202">
                  <c:v>7321999.9999999981</c:v>
                </c:pt>
                <c:pt idx="203">
                  <c:v>7201900</c:v>
                </c:pt>
                <c:pt idx="204">
                  <c:v>5095900.0000000009</c:v>
                </c:pt>
                <c:pt idx="205">
                  <c:v>2250500</c:v>
                </c:pt>
                <c:pt idx="206">
                  <c:v>1970500</c:v>
                </c:pt>
                <c:pt idx="207">
                  <c:v>2935320</c:v>
                </c:pt>
                <c:pt idx="208">
                  <c:v>3037920</c:v>
                </c:pt>
                <c:pt idx="209">
                  <c:v>2907230</c:v>
                </c:pt>
                <c:pt idx="210">
                  <c:v>1872340</c:v>
                </c:pt>
                <c:pt idx="211">
                  <c:v>1492220</c:v>
                </c:pt>
                <c:pt idx="212">
                  <c:v>1234310</c:v>
                </c:pt>
                <c:pt idx="213">
                  <c:v>1006820</c:v>
                </c:pt>
                <c:pt idx="214">
                  <c:v>843739.99999999953</c:v>
                </c:pt>
                <c:pt idx="215">
                  <c:v>534340.00000000047</c:v>
                </c:pt>
                <c:pt idx="216">
                  <c:v>371839.99999999953</c:v>
                </c:pt>
                <c:pt idx="217">
                  <c:v>133830</c:v>
                </c:pt>
                <c:pt idx="218">
                  <c:v>792490</c:v>
                </c:pt>
                <c:pt idx="219">
                  <c:v>1664540</c:v>
                </c:pt>
                <c:pt idx="220">
                  <c:v>11077790</c:v>
                </c:pt>
                <c:pt idx="221">
                  <c:v>12504330</c:v>
                </c:pt>
                <c:pt idx="222">
                  <c:v>824989.99999999907</c:v>
                </c:pt>
                <c:pt idx="223">
                  <c:v>1212530</c:v>
                </c:pt>
                <c:pt idx="224">
                  <c:v>1477090</c:v>
                </c:pt>
                <c:pt idx="225">
                  <c:v>1280680</c:v>
                </c:pt>
                <c:pt idx="226">
                  <c:v>1076760</c:v>
                </c:pt>
                <c:pt idx="227">
                  <c:v>579119.99999999907</c:v>
                </c:pt>
                <c:pt idx="228">
                  <c:v>3278350</c:v>
                </c:pt>
                <c:pt idx="229">
                  <c:v>1545900</c:v>
                </c:pt>
                <c:pt idx="230">
                  <c:v>173720</c:v>
                </c:pt>
                <c:pt idx="231">
                  <c:v>451560.00000000093</c:v>
                </c:pt>
                <c:pt idx="232">
                  <c:v>21110</c:v>
                </c:pt>
                <c:pt idx="233">
                  <c:v>5260.0000000004657</c:v>
                </c:pt>
                <c:pt idx="234">
                  <c:v>632640</c:v>
                </c:pt>
                <c:pt idx="235">
                  <c:v>875900.00000000047</c:v>
                </c:pt>
                <c:pt idx="236">
                  <c:v>2710510</c:v>
                </c:pt>
                <c:pt idx="237">
                  <c:v>1764820</c:v>
                </c:pt>
                <c:pt idx="238">
                  <c:v>2332140</c:v>
                </c:pt>
                <c:pt idx="239">
                  <c:v>1687100.0000000005</c:v>
                </c:pt>
                <c:pt idx="240">
                  <c:v>2134360</c:v>
                </c:pt>
                <c:pt idx="241">
                  <c:v>1417070</c:v>
                </c:pt>
                <c:pt idx="242">
                  <c:v>2151020</c:v>
                </c:pt>
                <c:pt idx="243">
                  <c:v>2291829.9999999995</c:v>
                </c:pt>
                <c:pt idx="244">
                  <c:v>1447539.9999999995</c:v>
                </c:pt>
                <c:pt idx="245">
                  <c:v>1268830</c:v>
                </c:pt>
                <c:pt idx="246">
                  <c:v>1302900</c:v>
                </c:pt>
                <c:pt idx="247">
                  <c:v>1339380</c:v>
                </c:pt>
                <c:pt idx="248">
                  <c:v>955099.99999999977</c:v>
                </c:pt>
                <c:pt idx="249">
                  <c:v>903690</c:v>
                </c:pt>
                <c:pt idx="250">
                  <c:v>1073160</c:v>
                </c:pt>
                <c:pt idx="251">
                  <c:v>1142170</c:v>
                </c:pt>
                <c:pt idx="252">
                  <c:v>1454070</c:v>
                </c:pt>
                <c:pt idx="253">
                  <c:v>1459340</c:v>
                </c:pt>
                <c:pt idx="254">
                  <c:v>1717790</c:v>
                </c:pt>
                <c:pt idx="255">
                  <c:v>1474800</c:v>
                </c:pt>
                <c:pt idx="256">
                  <c:v>1814370</c:v>
                </c:pt>
                <c:pt idx="257">
                  <c:v>482730</c:v>
                </c:pt>
                <c:pt idx="258">
                  <c:v>170400</c:v>
                </c:pt>
                <c:pt idx="259">
                  <c:v>321220</c:v>
                </c:pt>
                <c:pt idx="260">
                  <c:v>28650</c:v>
                </c:pt>
                <c:pt idx="261">
                  <c:v>131090</c:v>
                </c:pt>
                <c:pt idx="262">
                  <c:v>320250</c:v>
                </c:pt>
                <c:pt idx="263">
                  <c:v>734410</c:v>
                </c:pt>
                <c:pt idx="264">
                  <c:v>578830</c:v>
                </c:pt>
                <c:pt idx="265">
                  <c:v>108100</c:v>
                </c:pt>
                <c:pt idx="266">
                  <c:v>103200</c:v>
                </c:pt>
                <c:pt idx="267">
                  <c:v>329570</c:v>
                </c:pt>
                <c:pt idx="268">
                  <c:v>673490</c:v>
                </c:pt>
                <c:pt idx="269">
                  <c:v>798680</c:v>
                </c:pt>
                <c:pt idx="270">
                  <c:v>898340</c:v>
                </c:pt>
                <c:pt idx="271">
                  <c:v>1104950</c:v>
                </c:pt>
                <c:pt idx="272">
                  <c:v>1208310</c:v>
                </c:pt>
                <c:pt idx="273">
                  <c:v>1346120</c:v>
                </c:pt>
                <c:pt idx="274">
                  <c:v>1419310</c:v>
                </c:pt>
                <c:pt idx="275">
                  <c:v>1662176</c:v>
                </c:pt>
                <c:pt idx="276">
                  <c:v>1911416</c:v>
                </c:pt>
                <c:pt idx="277">
                  <c:v>2087144</c:v>
                </c:pt>
                <c:pt idx="278">
                  <c:v>2094641</c:v>
                </c:pt>
                <c:pt idx="279">
                  <c:v>2217838</c:v>
                </c:pt>
                <c:pt idx="280">
                  <c:v>2609127</c:v>
                </c:pt>
                <c:pt idx="281">
                  <c:v>1055069.9999999995</c:v>
                </c:pt>
                <c:pt idx="282">
                  <c:v>420370</c:v>
                </c:pt>
                <c:pt idx="283">
                  <c:v>555160</c:v>
                </c:pt>
                <c:pt idx="284">
                  <c:v>1033340</c:v>
                </c:pt>
                <c:pt idx="285">
                  <c:v>1222860</c:v>
                </c:pt>
                <c:pt idx="286">
                  <c:v>1383130</c:v>
                </c:pt>
                <c:pt idx="287">
                  <c:v>1530450</c:v>
                </c:pt>
                <c:pt idx="288">
                  <c:v>1646880</c:v>
                </c:pt>
                <c:pt idx="289">
                  <c:v>1718450</c:v>
                </c:pt>
                <c:pt idx="290">
                  <c:v>1880376</c:v>
                </c:pt>
                <c:pt idx="291">
                  <c:v>2054480</c:v>
                </c:pt>
                <c:pt idx="292">
                  <c:v>2356790</c:v>
                </c:pt>
                <c:pt idx="293">
                  <c:v>2205738</c:v>
                </c:pt>
                <c:pt idx="294">
                  <c:v>2200186</c:v>
                </c:pt>
                <c:pt idx="295">
                  <c:v>2282580</c:v>
                </c:pt>
                <c:pt idx="296">
                  <c:v>2490370</c:v>
                </c:pt>
                <c:pt idx="297">
                  <c:v>2427067</c:v>
                </c:pt>
                <c:pt idx="298">
                  <c:v>2351398</c:v>
                </c:pt>
                <c:pt idx="299">
                  <c:v>2485618</c:v>
                </c:pt>
                <c:pt idx="300">
                  <c:v>2432499</c:v>
                </c:pt>
                <c:pt idx="301">
                  <c:v>2554581</c:v>
                </c:pt>
                <c:pt idx="302">
                  <c:v>2456466</c:v>
                </c:pt>
                <c:pt idx="303">
                  <c:v>2581701</c:v>
                </c:pt>
                <c:pt idx="304">
                  <c:v>2634983</c:v>
                </c:pt>
                <c:pt idx="305">
                  <c:v>2732109</c:v>
                </c:pt>
                <c:pt idx="306">
                  <c:v>2739986</c:v>
                </c:pt>
                <c:pt idx="307">
                  <c:v>2769239</c:v>
                </c:pt>
                <c:pt idx="308">
                  <c:v>2794941</c:v>
                </c:pt>
                <c:pt idx="309">
                  <c:v>2849112</c:v>
                </c:pt>
                <c:pt idx="310">
                  <c:v>1489860</c:v>
                </c:pt>
                <c:pt idx="311">
                  <c:v>1463750</c:v>
                </c:pt>
                <c:pt idx="312">
                  <c:v>1668180</c:v>
                </c:pt>
                <c:pt idx="313">
                  <c:v>1858070</c:v>
                </c:pt>
                <c:pt idx="314">
                  <c:v>1476910</c:v>
                </c:pt>
                <c:pt idx="315">
                  <c:v>1699940</c:v>
                </c:pt>
                <c:pt idx="316">
                  <c:v>1881330</c:v>
                </c:pt>
                <c:pt idx="317">
                  <c:v>1920250</c:v>
                </c:pt>
                <c:pt idx="318">
                  <c:v>2235980</c:v>
                </c:pt>
                <c:pt idx="319">
                  <c:v>2312388</c:v>
                </c:pt>
                <c:pt idx="320">
                  <c:v>1375110</c:v>
                </c:pt>
                <c:pt idx="321">
                  <c:v>1204250.0000000007</c:v>
                </c:pt>
                <c:pt idx="322">
                  <c:v>1260420</c:v>
                </c:pt>
                <c:pt idx="323">
                  <c:v>1335640</c:v>
                </c:pt>
                <c:pt idx="324">
                  <c:v>1506020</c:v>
                </c:pt>
                <c:pt idx="325">
                  <c:v>1830840</c:v>
                </c:pt>
                <c:pt idx="326">
                  <c:v>2022990</c:v>
                </c:pt>
                <c:pt idx="327">
                  <c:v>2147830</c:v>
                </c:pt>
                <c:pt idx="328">
                  <c:v>2202290.0000000005</c:v>
                </c:pt>
                <c:pt idx="329">
                  <c:v>2278812</c:v>
                </c:pt>
                <c:pt idx="330">
                  <c:v>2390349</c:v>
                </c:pt>
                <c:pt idx="331">
                  <c:v>2394747</c:v>
                </c:pt>
                <c:pt idx="332">
                  <c:v>2382480</c:v>
                </c:pt>
                <c:pt idx="333">
                  <c:v>2439900</c:v>
                </c:pt>
                <c:pt idx="334">
                  <c:v>2494811</c:v>
                </c:pt>
                <c:pt idx="335">
                  <c:v>2515922</c:v>
                </c:pt>
                <c:pt idx="336">
                  <c:v>2661276</c:v>
                </c:pt>
                <c:pt idx="337">
                  <c:v>2783256</c:v>
                </c:pt>
                <c:pt idx="338">
                  <c:v>2836995</c:v>
                </c:pt>
                <c:pt idx="339">
                  <c:v>2853470</c:v>
                </c:pt>
                <c:pt idx="340">
                  <c:v>2872761</c:v>
                </c:pt>
                <c:pt idx="341">
                  <c:v>2939254</c:v>
                </c:pt>
                <c:pt idx="342">
                  <c:v>2963275</c:v>
                </c:pt>
                <c:pt idx="343">
                  <c:v>3006796</c:v>
                </c:pt>
                <c:pt idx="344">
                  <c:v>3113728</c:v>
                </c:pt>
                <c:pt idx="345">
                  <c:v>2239780</c:v>
                </c:pt>
                <c:pt idx="346">
                  <c:v>2067350</c:v>
                </c:pt>
                <c:pt idx="347">
                  <c:v>2223550</c:v>
                </c:pt>
                <c:pt idx="348">
                  <c:v>2110440</c:v>
                </c:pt>
                <c:pt idx="349">
                  <c:v>2155190</c:v>
                </c:pt>
                <c:pt idx="350">
                  <c:v>1984869.9999999995</c:v>
                </c:pt>
                <c:pt idx="351">
                  <c:v>2115970</c:v>
                </c:pt>
                <c:pt idx="352">
                  <c:v>2317550</c:v>
                </c:pt>
                <c:pt idx="353">
                  <c:v>2364792.9999999995</c:v>
                </c:pt>
                <c:pt idx="354">
                  <c:v>2425320.0000000005</c:v>
                </c:pt>
                <c:pt idx="355">
                  <c:v>2359235</c:v>
                </c:pt>
                <c:pt idx="356">
                  <c:v>2324094</c:v>
                </c:pt>
                <c:pt idx="357">
                  <c:v>2372328.9999999995</c:v>
                </c:pt>
                <c:pt idx="358">
                  <c:v>2495122</c:v>
                </c:pt>
                <c:pt idx="359">
                  <c:v>2516449</c:v>
                </c:pt>
                <c:pt idx="360">
                  <c:v>2575309</c:v>
                </c:pt>
                <c:pt idx="361">
                  <c:v>2621638</c:v>
                </c:pt>
                <c:pt idx="362">
                  <c:v>2692544</c:v>
                </c:pt>
                <c:pt idx="363">
                  <c:v>2855088</c:v>
                </c:pt>
                <c:pt idx="364">
                  <c:v>2872642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54-4EF2-82DE-B83109C9C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10784"/>
        <c:axId val="1495409824"/>
      </c:lineChart>
      <c:catAx>
        <c:axId val="149541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5409824"/>
        <c:crosses val="autoZero"/>
        <c:auto val="1"/>
        <c:lblAlgn val="ctr"/>
        <c:lblOffset val="100"/>
        <c:noMultiLvlLbl val="0"/>
      </c:catAx>
      <c:valAx>
        <c:axId val="149540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541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絶対誤差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Sheet1!$M$10</c:f>
              <c:strCache>
                <c:ptCount val="1"/>
                <c:pt idx="0">
                  <c:v>観測値-計算値: 調整後_log_err_sq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Sheet1!$M$11:$M$375</c:f>
              <c:numCache>
                <c:formatCode>#,##0_);[Red]\(#,##0\)</c:formatCode>
                <c:ptCount val="365"/>
                <c:pt idx="0">
                  <c:v>3201999.0000000005</c:v>
                </c:pt>
                <c:pt idx="1">
                  <c:v>3201999.0000000005</c:v>
                </c:pt>
                <c:pt idx="2">
                  <c:v>3201999.0000000005</c:v>
                </c:pt>
                <c:pt idx="3">
                  <c:v>3178999</c:v>
                </c:pt>
                <c:pt idx="4">
                  <c:v>3139999</c:v>
                </c:pt>
                <c:pt idx="5">
                  <c:v>3149999</c:v>
                </c:pt>
                <c:pt idx="6">
                  <c:v>3196999</c:v>
                </c:pt>
                <c:pt idx="7">
                  <c:v>2052180.0000000005</c:v>
                </c:pt>
                <c:pt idx="8">
                  <c:v>2143950</c:v>
                </c:pt>
                <c:pt idx="9">
                  <c:v>2752391</c:v>
                </c:pt>
                <c:pt idx="10">
                  <c:v>2924980.9999999995</c:v>
                </c:pt>
                <c:pt idx="11">
                  <c:v>2927057</c:v>
                </c:pt>
                <c:pt idx="12">
                  <c:v>2846437</c:v>
                </c:pt>
                <c:pt idx="13">
                  <c:v>3875500</c:v>
                </c:pt>
                <c:pt idx="14">
                  <c:v>12043400</c:v>
                </c:pt>
                <c:pt idx="15">
                  <c:v>15152700</c:v>
                </c:pt>
                <c:pt idx="16">
                  <c:v>13784900</c:v>
                </c:pt>
                <c:pt idx="17">
                  <c:v>6492510</c:v>
                </c:pt>
                <c:pt idx="18">
                  <c:v>8745400</c:v>
                </c:pt>
                <c:pt idx="19">
                  <c:v>2156550</c:v>
                </c:pt>
                <c:pt idx="20">
                  <c:v>513670</c:v>
                </c:pt>
                <c:pt idx="21">
                  <c:v>3634920</c:v>
                </c:pt>
                <c:pt idx="22">
                  <c:v>1440520.0000000005</c:v>
                </c:pt>
                <c:pt idx="23">
                  <c:v>2072290</c:v>
                </c:pt>
                <c:pt idx="24">
                  <c:v>6339040</c:v>
                </c:pt>
                <c:pt idx="25">
                  <c:v>645250</c:v>
                </c:pt>
                <c:pt idx="26">
                  <c:v>617820</c:v>
                </c:pt>
                <c:pt idx="27">
                  <c:v>1463610</c:v>
                </c:pt>
                <c:pt idx="28">
                  <c:v>1842030</c:v>
                </c:pt>
                <c:pt idx="29">
                  <c:v>2281870</c:v>
                </c:pt>
                <c:pt idx="30">
                  <c:v>2051290.0000000005</c:v>
                </c:pt>
                <c:pt idx="31">
                  <c:v>2295488</c:v>
                </c:pt>
                <c:pt idx="32">
                  <c:v>2614642</c:v>
                </c:pt>
                <c:pt idx="33">
                  <c:v>2804366</c:v>
                </c:pt>
                <c:pt idx="34">
                  <c:v>2892559</c:v>
                </c:pt>
                <c:pt idx="35">
                  <c:v>2940079.9999999995</c:v>
                </c:pt>
                <c:pt idx="36">
                  <c:v>2999253</c:v>
                </c:pt>
                <c:pt idx="37">
                  <c:v>2493280</c:v>
                </c:pt>
                <c:pt idx="38">
                  <c:v>364260</c:v>
                </c:pt>
                <c:pt idx="39">
                  <c:v>971769.99999999953</c:v>
                </c:pt>
                <c:pt idx="40">
                  <c:v>2360440</c:v>
                </c:pt>
                <c:pt idx="41">
                  <c:v>460750.00000000047</c:v>
                </c:pt>
                <c:pt idx="42">
                  <c:v>238490</c:v>
                </c:pt>
                <c:pt idx="43">
                  <c:v>777400</c:v>
                </c:pt>
                <c:pt idx="44">
                  <c:v>5648700</c:v>
                </c:pt>
                <c:pt idx="45">
                  <c:v>241180</c:v>
                </c:pt>
                <c:pt idx="46">
                  <c:v>575870</c:v>
                </c:pt>
                <c:pt idx="47">
                  <c:v>1453030</c:v>
                </c:pt>
                <c:pt idx="48">
                  <c:v>2235760.0000000005</c:v>
                </c:pt>
                <c:pt idx="49">
                  <c:v>3236159.9999999991</c:v>
                </c:pt>
                <c:pt idx="50">
                  <c:v>2681990</c:v>
                </c:pt>
                <c:pt idx="51">
                  <c:v>2285740</c:v>
                </c:pt>
                <c:pt idx="52">
                  <c:v>6237600</c:v>
                </c:pt>
                <c:pt idx="53">
                  <c:v>39670</c:v>
                </c:pt>
                <c:pt idx="54">
                  <c:v>1156620</c:v>
                </c:pt>
                <c:pt idx="55">
                  <c:v>4001380.0000000005</c:v>
                </c:pt>
                <c:pt idx="56">
                  <c:v>808070</c:v>
                </c:pt>
                <c:pt idx="57">
                  <c:v>1516610</c:v>
                </c:pt>
                <c:pt idx="58">
                  <c:v>1952670</c:v>
                </c:pt>
                <c:pt idx="59">
                  <c:v>1929400</c:v>
                </c:pt>
                <c:pt idx="60">
                  <c:v>2029180</c:v>
                </c:pt>
                <c:pt idx="61">
                  <c:v>1637370.0000000005</c:v>
                </c:pt>
                <c:pt idx="62">
                  <c:v>894050</c:v>
                </c:pt>
                <c:pt idx="63">
                  <c:v>261460</c:v>
                </c:pt>
                <c:pt idx="64">
                  <c:v>3148060</c:v>
                </c:pt>
                <c:pt idx="65">
                  <c:v>1960830.0000000005</c:v>
                </c:pt>
                <c:pt idx="66">
                  <c:v>2320288</c:v>
                </c:pt>
                <c:pt idx="67">
                  <c:v>2521240</c:v>
                </c:pt>
                <c:pt idx="68">
                  <c:v>235400</c:v>
                </c:pt>
                <c:pt idx="69">
                  <c:v>827950</c:v>
                </c:pt>
                <c:pt idx="70">
                  <c:v>1637459.9999999995</c:v>
                </c:pt>
                <c:pt idx="71">
                  <c:v>4713250</c:v>
                </c:pt>
                <c:pt idx="72">
                  <c:v>123639.99999999953</c:v>
                </c:pt>
                <c:pt idx="73">
                  <c:v>854360</c:v>
                </c:pt>
                <c:pt idx="74">
                  <c:v>1854200</c:v>
                </c:pt>
                <c:pt idx="75">
                  <c:v>2341820.0000000005</c:v>
                </c:pt>
                <c:pt idx="76">
                  <c:v>30430</c:v>
                </c:pt>
                <c:pt idx="77">
                  <c:v>5971220</c:v>
                </c:pt>
                <c:pt idx="78">
                  <c:v>501710</c:v>
                </c:pt>
                <c:pt idx="79">
                  <c:v>2429620</c:v>
                </c:pt>
                <c:pt idx="80">
                  <c:v>5871300</c:v>
                </c:pt>
                <c:pt idx="81">
                  <c:v>10273600</c:v>
                </c:pt>
                <c:pt idx="82">
                  <c:v>16915200</c:v>
                </c:pt>
                <c:pt idx="83">
                  <c:v>9470600</c:v>
                </c:pt>
                <c:pt idx="84">
                  <c:v>10096000</c:v>
                </c:pt>
                <c:pt idx="85">
                  <c:v>12159200</c:v>
                </c:pt>
                <c:pt idx="86">
                  <c:v>5760200</c:v>
                </c:pt>
                <c:pt idx="87">
                  <c:v>8820600</c:v>
                </c:pt>
                <c:pt idx="88">
                  <c:v>2291530</c:v>
                </c:pt>
                <c:pt idx="89">
                  <c:v>5302830</c:v>
                </c:pt>
                <c:pt idx="90">
                  <c:v>586620</c:v>
                </c:pt>
                <c:pt idx="91">
                  <c:v>1295730</c:v>
                </c:pt>
                <c:pt idx="92">
                  <c:v>2774400</c:v>
                </c:pt>
                <c:pt idx="93">
                  <c:v>2281260</c:v>
                </c:pt>
                <c:pt idx="94">
                  <c:v>2384807</c:v>
                </c:pt>
                <c:pt idx="95">
                  <c:v>1325700.0000000005</c:v>
                </c:pt>
                <c:pt idx="96">
                  <c:v>201340</c:v>
                </c:pt>
                <c:pt idx="97">
                  <c:v>12274100</c:v>
                </c:pt>
                <c:pt idx="98">
                  <c:v>6337600</c:v>
                </c:pt>
                <c:pt idx="99">
                  <c:v>9650100</c:v>
                </c:pt>
                <c:pt idx="100">
                  <c:v>2966049.9999999995</c:v>
                </c:pt>
                <c:pt idx="101">
                  <c:v>5008340</c:v>
                </c:pt>
                <c:pt idx="102">
                  <c:v>6000000</c:v>
                </c:pt>
                <c:pt idx="103">
                  <c:v>8083000</c:v>
                </c:pt>
                <c:pt idx="104">
                  <c:v>3375500</c:v>
                </c:pt>
                <c:pt idx="105">
                  <c:v>12096200</c:v>
                </c:pt>
                <c:pt idx="106">
                  <c:v>11622400</c:v>
                </c:pt>
                <c:pt idx="107">
                  <c:v>5736400</c:v>
                </c:pt>
                <c:pt idx="108">
                  <c:v>8146300</c:v>
                </c:pt>
                <c:pt idx="109">
                  <c:v>5833500</c:v>
                </c:pt>
                <c:pt idx="110">
                  <c:v>16520</c:v>
                </c:pt>
                <c:pt idx="111">
                  <c:v>1226440</c:v>
                </c:pt>
                <c:pt idx="112">
                  <c:v>2155550</c:v>
                </c:pt>
                <c:pt idx="113">
                  <c:v>3061870</c:v>
                </c:pt>
                <c:pt idx="114">
                  <c:v>3564810</c:v>
                </c:pt>
                <c:pt idx="115">
                  <c:v>3725900</c:v>
                </c:pt>
                <c:pt idx="116">
                  <c:v>10911700</c:v>
                </c:pt>
                <c:pt idx="117">
                  <c:v>5325000</c:v>
                </c:pt>
                <c:pt idx="118">
                  <c:v>5134300.0000000009</c:v>
                </c:pt>
                <c:pt idx="119">
                  <c:v>15460600</c:v>
                </c:pt>
                <c:pt idx="120">
                  <c:v>19957700</c:v>
                </c:pt>
                <c:pt idx="121">
                  <c:v>18915800</c:v>
                </c:pt>
                <c:pt idx="122">
                  <c:v>15587900</c:v>
                </c:pt>
                <c:pt idx="123">
                  <c:v>11861000</c:v>
                </c:pt>
                <c:pt idx="124">
                  <c:v>10350299.999999998</c:v>
                </c:pt>
                <c:pt idx="125">
                  <c:v>3067400</c:v>
                </c:pt>
                <c:pt idx="126">
                  <c:v>55648300</c:v>
                </c:pt>
                <c:pt idx="127">
                  <c:v>3591200</c:v>
                </c:pt>
                <c:pt idx="128">
                  <c:v>26931800</c:v>
                </c:pt>
                <c:pt idx="129">
                  <c:v>29247100</c:v>
                </c:pt>
                <c:pt idx="130">
                  <c:v>24686300</c:v>
                </c:pt>
                <c:pt idx="131">
                  <c:v>19999300</c:v>
                </c:pt>
                <c:pt idx="132">
                  <c:v>15422300</c:v>
                </c:pt>
                <c:pt idx="133">
                  <c:v>16920300</c:v>
                </c:pt>
                <c:pt idx="134">
                  <c:v>13895700</c:v>
                </c:pt>
                <c:pt idx="135">
                  <c:v>11469700</c:v>
                </c:pt>
                <c:pt idx="136">
                  <c:v>8478800</c:v>
                </c:pt>
                <c:pt idx="137">
                  <c:v>5987800</c:v>
                </c:pt>
                <c:pt idx="138">
                  <c:v>4074920</c:v>
                </c:pt>
                <c:pt idx="139">
                  <c:v>4824600</c:v>
                </c:pt>
                <c:pt idx="140">
                  <c:v>7737500</c:v>
                </c:pt>
                <c:pt idx="141">
                  <c:v>2002550</c:v>
                </c:pt>
                <c:pt idx="142">
                  <c:v>536350</c:v>
                </c:pt>
                <c:pt idx="143">
                  <c:v>3715080</c:v>
                </c:pt>
                <c:pt idx="144">
                  <c:v>1772540.0000000005</c:v>
                </c:pt>
                <c:pt idx="145">
                  <c:v>2362450</c:v>
                </c:pt>
                <c:pt idx="146">
                  <c:v>2618509.9999999995</c:v>
                </c:pt>
                <c:pt idx="147">
                  <c:v>1685980</c:v>
                </c:pt>
                <c:pt idx="148">
                  <c:v>3410184</c:v>
                </c:pt>
                <c:pt idx="149">
                  <c:v>7549594</c:v>
                </c:pt>
                <c:pt idx="150">
                  <c:v>25662800</c:v>
                </c:pt>
                <c:pt idx="151">
                  <c:v>13519400</c:v>
                </c:pt>
                <c:pt idx="152">
                  <c:v>14862099.999999998</c:v>
                </c:pt>
                <c:pt idx="153">
                  <c:v>15089400</c:v>
                </c:pt>
                <c:pt idx="154">
                  <c:v>13749500</c:v>
                </c:pt>
                <c:pt idx="155">
                  <c:v>10967300</c:v>
                </c:pt>
                <c:pt idx="156">
                  <c:v>274400</c:v>
                </c:pt>
                <c:pt idx="157">
                  <c:v>10732700</c:v>
                </c:pt>
                <c:pt idx="158">
                  <c:v>1437500</c:v>
                </c:pt>
                <c:pt idx="159">
                  <c:v>123300</c:v>
                </c:pt>
                <c:pt idx="160">
                  <c:v>7607200</c:v>
                </c:pt>
                <c:pt idx="161">
                  <c:v>9882600</c:v>
                </c:pt>
                <c:pt idx="162">
                  <c:v>8361999.9999999991</c:v>
                </c:pt>
                <c:pt idx="163">
                  <c:v>1656730</c:v>
                </c:pt>
                <c:pt idx="164">
                  <c:v>4774400</c:v>
                </c:pt>
                <c:pt idx="165">
                  <c:v>1953180</c:v>
                </c:pt>
                <c:pt idx="166">
                  <c:v>2933850.0000000009</c:v>
                </c:pt>
                <c:pt idx="167">
                  <c:v>1459190</c:v>
                </c:pt>
                <c:pt idx="168">
                  <c:v>3570030</c:v>
                </c:pt>
                <c:pt idx="169">
                  <c:v>3788910</c:v>
                </c:pt>
                <c:pt idx="170">
                  <c:v>3687150</c:v>
                </c:pt>
                <c:pt idx="171">
                  <c:v>4766438</c:v>
                </c:pt>
                <c:pt idx="172">
                  <c:v>10255200</c:v>
                </c:pt>
                <c:pt idx="173">
                  <c:v>5333110</c:v>
                </c:pt>
                <c:pt idx="174">
                  <c:v>9225400</c:v>
                </c:pt>
                <c:pt idx="175">
                  <c:v>2716200</c:v>
                </c:pt>
                <c:pt idx="176">
                  <c:v>11421499.999999998</c:v>
                </c:pt>
                <c:pt idx="177">
                  <c:v>15262500</c:v>
                </c:pt>
                <c:pt idx="178">
                  <c:v>17064700</c:v>
                </c:pt>
                <c:pt idx="179">
                  <c:v>10913500</c:v>
                </c:pt>
                <c:pt idx="180">
                  <c:v>124832800</c:v>
                </c:pt>
                <c:pt idx="181">
                  <c:v>131619600</c:v>
                </c:pt>
                <c:pt idx="182">
                  <c:v>9897799.9999999925</c:v>
                </c:pt>
                <c:pt idx="183">
                  <c:v>99935200</c:v>
                </c:pt>
                <c:pt idx="184">
                  <c:v>179287000</c:v>
                </c:pt>
                <c:pt idx="185">
                  <c:v>132347000</c:v>
                </c:pt>
                <c:pt idx="186">
                  <c:v>70932000</c:v>
                </c:pt>
                <c:pt idx="187">
                  <c:v>43966700</c:v>
                </c:pt>
                <c:pt idx="188">
                  <c:v>40468500</c:v>
                </c:pt>
                <c:pt idx="189">
                  <c:v>40551000</c:v>
                </c:pt>
                <c:pt idx="190">
                  <c:v>135164699.99999997</c:v>
                </c:pt>
                <c:pt idx="191">
                  <c:v>150261000</c:v>
                </c:pt>
                <c:pt idx="192">
                  <c:v>114685000</c:v>
                </c:pt>
                <c:pt idx="193">
                  <c:v>92876000</c:v>
                </c:pt>
                <c:pt idx="194">
                  <c:v>86758000</c:v>
                </c:pt>
                <c:pt idx="195">
                  <c:v>73447400</c:v>
                </c:pt>
                <c:pt idx="196">
                  <c:v>59885600</c:v>
                </c:pt>
                <c:pt idx="197">
                  <c:v>47153800</c:v>
                </c:pt>
                <c:pt idx="198">
                  <c:v>35451400</c:v>
                </c:pt>
                <c:pt idx="199">
                  <c:v>25348700</c:v>
                </c:pt>
                <c:pt idx="200">
                  <c:v>24489200</c:v>
                </c:pt>
                <c:pt idx="201">
                  <c:v>20715400</c:v>
                </c:pt>
                <c:pt idx="202">
                  <c:v>15413400</c:v>
                </c:pt>
                <c:pt idx="203">
                  <c:v>11648300</c:v>
                </c:pt>
                <c:pt idx="204">
                  <c:v>6584800.0000000009</c:v>
                </c:pt>
                <c:pt idx="205">
                  <c:v>1586800</c:v>
                </c:pt>
                <c:pt idx="206">
                  <c:v>396320</c:v>
                </c:pt>
                <c:pt idx="207">
                  <c:v>572950</c:v>
                </c:pt>
                <c:pt idx="208">
                  <c:v>1361440</c:v>
                </c:pt>
                <c:pt idx="209">
                  <c:v>1866270</c:v>
                </c:pt>
                <c:pt idx="210">
                  <c:v>2865370</c:v>
                </c:pt>
                <c:pt idx="211">
                  <c:v>3065400</c:v>
                </c:pt>
                <c:pt idx="212">
                  <c:v>3087590</c:v>
                </c:pt>
                <c:pt idx="213">
                  <c:v>3060020</c:v>
                </c:pt>
                <c:pt idx="214">
                  <c:v>2961210.0000000005</c:v>
                </c:pt>
                <c:pt idx="215">
                  <c:v>2748939.9999999995</c:v>
                </c:pt>
                <c:pt idx="216">
                  <c:v>2641600</c:v>
                </c:pt>
                <c:pt idx="217">
                  <c:v>2762285</c:v>
                </c:pt>
                <c:pt idx="218">
                  <c:v>3504227</c:v>
                </c:pt>
                <c:pt idx="219">
                  <c:v>4179150</c:v>
                </c:pt>
                <c:pt idx="220">
                  <c:v>12747940</c:v>
                </c:pt>
                <c:pt idx="221">
                  <c:v>3141500</c:v>
                </c:pt>
                <c:pt idx="222">
                  <c:v>16051400</c:v>
                </c:pt>
                <c:pt idx="223">
                  <c:v>15649100</c:v>
                </c:pt>
                <c:pt idx="224">
                  <c:v>13304000</c:v>
                </c:pt>
                <c:pt idx="225">
                  <c:v>10047900</c:v>
                </c:pt>
                <c:pt idx="226">
                  <c:v>7089300</c:v>
                </c:pt>
                <c:pt idx="227">
                  <c:v>4325960</c:v>
                </c:pt>
                <c:pt idx="228">
                  <c:v>1331120</c:v>
                </c:pt>
                <c:pt idx="229">
                  <c:v>3708700</c:v>
                </c:pt>
                <c:pt idx="230">
                  <c:v>4801780</c:v>
                </c:pt>
                <c:pt idx="231">
                  <c:v>4321100</c:v>
                </c:pt>
                <c:pt idx="232">
                  <c:v>2334650</c:v>
                </c:pt>
                <c:pt idx="233">
                  <c:v>1246739.9999999995</c:v>
                </c:pt>
                <c:pt idx="234">
                  <c:v>246080</c:v>
                </c:pt>
                <c:pt idx="235">
                  <c:v>1030880.0000000005</c:v>
                </c:pt>
                <c:pt idx="236">
                  <c:v>3147530</c:v>
                </c:pt>
                <c:pt idx="237">
                  <c:v>2367220</c:v>
                </c:pt>
                <c:pt idx="238">
                  <c:v>3035520</c:v>
                </c:pt>
                <c:pt idx="239">
                  <c:v>496750.00000000047</c:v>
                </c:pt>
                <c:pt idx="240">
                  <c:v>829120</c:v>
                </c:pt>
                <c:pt idx="241">
                  <c:v>717980</c:v>
                </c:pt>
                <c:pt idx="242">
                  <c:v>1618410</c:v>
                </c:pt>
                <c:pt idx="243">
                  <c:v>2006619.9999999995</c:v>
                </c:pt>
                <c:pt idx="244">
                  <c:v>139470.00000000047</c:v>
                </c:pt>
                <c:pt idx="245">
                  <c:v>265970</c:v>
                </c:pt>
                <c:pt idx="246">
                  <c:v>433640</c:v>
                </c:pt>
                <c:pt idx="247">
                  <c:v>1097120</c:v>
                </c:pt>
                <c:pt idx="248">
                  <c:v>1351370</c:v>
                </c:pt>
                <c:pt idx="249">
                  <c:v>1558110</c:v>
                </c:pt>
                <c:pt idx="250">
                  <c:v>681360</c:v>
                </c:pt>
                <c:pt idx="251">
                  <c:v>334850</c:v>
                </c:pt>
                <c:pt idx="252">
                  <c:v>1151020</c:v>
                </c:pt>
                <c:pt idx="253">
                  <c:v>106910</c:v>
                </c:pt>
                <c:pt idx="254">
                  <c:v>426680</c:v>
                </c:pt>
                <c:pt idx="255">
                  <c:v>812490</c:v>
                </c:pt>
                <c:pt idx="256">
                  <c:v>1450610</c:v>
                </c:pt>
                <c:pt idx="257">
                  <c:v>4236080</c:v>
                </c:pt>
                <c:pt idx="258">
                  <c:v>4958380</c:v>
                </c:pt>
                <c:pt idx="259">
                  <c:v>3964030</c:v>
                </c:pt>
                <c:pt idx="260">
                  <c:v>4705670</c:v>
                </c:pt>
                <c:pt idx="261">
                  <c:v>3857500</c:v>
                </c:pt>
                <c:pt idx="262">
                  <c:v>2732260</c:v>
                </c:pt>
                <c:pt idx="263">
                  <c:v>1119820</c:v>
                </c:pt>
                <c:pt idx="264">
                  <c:v>1666550</c:v>
                </c:pt>
                <c:pt idx="265">
                  <c:v>4112340</c:v>
                </c:pt>
                <c:pt idx="266">
                  <c:v>3497180</c:v>
                </c:pt>
                <c:pt idx="267">
                  <c:v>2190860</c:v>
                </c:pt>
                <c:pt idx="268">
                  <c:v>668740</c:v>
                </c:pt>
                <c:pt idx="269">
                  <c:v>135360</c:v>
                </c:pt>
                <c:pt idx="270">
                  <c:v>601860</c:v>
                </c:pt>
                <c:pt idx="271">
                  <c:v>1039090</c:v>
                </c:pt>
                <c:pt idx="272">
                  <c:v>1302310</c:v>
                </c:pt>
                <c:pt idx="273">
                  <c:v>1551808</c:v>
                </c:pt>
                <c:pt idx="274">
                  <c:v>1700115</c:v>
                </c:pt>
                <c:pt idx="275">
                  <c:v>1993346</c:v>
                </c:pt>
                <c:pt idx="276">
                  <c:v>2271842</c:v>
                </c:pt>
                <c:pt idx="277">
                  <c:v>2462735</c:v>
                </c:pt>
                <c:pt idx="278">
                  <c:v>2474967</c:v>
                </c:pt>
                <c:pt idx="279">
                  <c:v>2594175</c:v>
                </c:pt>
                <c:pt idx="280">
                  <c:v>2974905</c:v>
                </c:pt>
                <c:pt idx="281">
                  <c:v>4454490</c:v>
                </c:pt>
                <c:pt idx="282">
                  <c:v>6193180</c:v>
                </c:pt>
                <c:pt idx="283">
                  <c:v>5278409.9999999991</c:v>
                </c:pt>
                <c:pt idx="284">
                  <c:v>3274870</c:v>
                </c:pt>
                <c:pt idx="285">
                  <c:v>1536550</c:v>
                </c:pt>
                <c:pt idx="286">
                  <c:v>79270</c:v>
                </c:pt>
                <c:pt idx="287">
                  <c:v>806879.99999999977</c:v>
                </c:pt>
                <c:pt idx="288">
                  <c:v>1285710</c:v>
                </c:pt>
                <c:pt idx="289">
                  <c:v>1573310</c:v>
                </c:pt>
                <c:pt idx="290">
                  <c:v>1879364</c:v>
                </c:pt>
                <c:pt idx="291">
                  <c:v>2154220</c:v>
                </c:pt>
                <c:pt idx="292">
                  <c:v>2526150</c:v>
                </c:pt>
                <c:pt idx="293">
                  <c:v>2160144</c:v>
                </c:pt>
                <c:pt idx="294">
                  <c:v>2169953</c:v>
                </c:pt>
                <c:pt idx="295">
                  <c:v>2399759</c:v>
                </c:pt>
                <c:pt idx="296">
                  <c:v>2668406</c:v>
                </c:pt>
                <c:pt idx="297">
                  <c:v>2633204</c:v>
                </c:pt>
                <c:pt idx="298">
                  <c:v>2568907</c:v>
                </c:pt>
                <c:pt idx="299">
                  <c:v>2705109</c:v>
                </c:pt>
                <c:pt idx="300">
                  <c:v>2128338</c:v>
                </c:pt>
                <c:pt idx="301">
                  <c:v>2216695</c:v>
                </c:pt>
                <c:pt idx="302">
                  <c:v>2372923</c:v>
                </c:pt>
                <c:pt idx="303">
                  <c:v>2597328</c:v>
                </c:pt>
                <c:pt idx="304">
                  <c:v>2696019</c:v>
                </c:pt>
                <c:pt idx="305">
                  <c:v>2817103</c:v>
                </c:pt>
                <c:pt idx="306">
                  <c:v>2838248</c:v>
                </c:pt>
                <c:pt idx="307">
                  <c:v>2874348</c:v>
                </c:pt>
                <c:pt idx="308">
                  <c:v>2902984</c:v>
                </c:pt>
                <c:pt idx="309">
                  <c:v>2956818.5</c:v>
                </c:pt>
                <c:pt idx="310">
                  <c:v>2962600</c:v>
                </c:pt>
                <c:pt idx="311">
                  <c:v>3328990</c:v>
                </c:pt>
                <c:pt idx="312">
                  <c:v>2367400</c:v>
                </c:pt>
                <c:pt idx="313">
                  <c:v>891630</c:v>
                </c:pt>
                <c:pt idx="314">
                  <c:v>1901150</c:v>
                </c:pt>
                <c:pt idx="315">
                  <c:v>1101900</c:v>
                </c:pt>
                <c:pt idx="316">
                  <c:v>4900</c:v>
                </c:pt>
                <c:pt idx="317">
                  <c:v>880370</c:v>
                </c:pt>
                <c:pt idx="318">
                  <c:v>1611130</c:v>
                </c:pt>
                <c:pt idx="319">
                  <c:v>1938110</c:v>
                </c:pt>
                <c:pt idx="320">
                  <c:v>2606210</c:v>
                </c:pt>
                <c:pt idx="321">
                  <c:v>3326459.9999999995</c:v>
                </c:pt>
                <c:pt idx="322">
                  <c:v>3031070</c:v>
                </c:pt>
                <c:pt idx="323">
                  <c:v>1760080</c:v>
                </c:pt>
                <c:pt idx="324">
                  <c:v>355230</c:v>
                </c:pt>
                <c:pt idx="325">
                  <c:v>884140</c:v>
                </c:pt>
                <c:pt idx="326">
                  <c:v>1512860</c:v>
                </c:pt>
                <c:pt idx="327">
                  <c:v>1891580</c:v>
                </c:pt>
                <c:pt idx="328">
                  <c:v>2113710.0000000005</c:v>
                </c:pt>
                <c:pt idx="329">
                  <c:v>2308596</c:v>
                </c:pt>
                <c:pt idx="330">
                  <c:v>2505338</c:v>
                </c:pt>
                <c:pt idx="331">
                  <c:v>1918060</c:v>
                </c:pt>
                <c:pt idx="332">
                  <c:v>1907680</c:v>
                </c:pt>
                <c:pt idx="333">
                  <c:v>2315278</c:v>
                </c:pt>
                <c:pt idx="334">
                  <c:v>2519499</c:v>
                </c:pt>
                <c:pt idx="335">
                  <c:v>2616942</c:v>
                </c:pt>
                <c:pt idx="336">
                  <c:v>2808512</c:v>
                </c:pt>
                <c:pt idx="337">
                  <c:v>2959075</c:v>
                </c:pt>
                <c:pt idx="338">
                  <c:v>3029116</c:v>
                </c:pt>
                <c:pt idx="339">
                  <c:v>3053824</c:v>
                </c:pt>
                <c:pt idx="340">
                  <c:v>3075199</c:v>
                </c:pt>
                <c:pt idx="341">
                  <c:v>3138330</c:v>
                </c:pt>
                <c:pt idx="342">
                  <c:v>3154868</c:v>
                </c:pt>
                <c:pt idx="343">
                  <c:v>3189895.3</c:v>
                </c:pt>
                <c:pt idx="344">
                  <c:v>3286516.6</c:v>
                </c:pt>
                <c:pt idx="345">
                  <c:v>853610</c:v>
                </c:pt>
                <c:pt idx="346">
                  <c:v>1278490</c:v>
                </c:pt>
                <c:pt idx="347">
                  <c:v>451900</c:v>
                </c:pt>
                <c:pt idx="348">
                  <c:v>435550</c:v>
                </c:pt>
                <c:pt idx="349">
                  <c:v>90470</c:v>
                </c:pt>
                <c:pt idx="350">
                  <c:v>62459.999999999534</c:v>
                </c:pt>
                <c:pt idx="351">
                  <c:v>672330</c:v>
                </c:pt>
                <c:pt idx="352">
                  <c:v>1481490</c:v>
                </c:pt>
                <c:pt idx="353">
                  <c:v>1587709.9999999995</c:v>
                </c:pt>
                <c:pt idx="354">
                  <c:v>1835190.0000000005</c:v>
                </c:pt>
                <c:pt idx="355">
                  <c:v>1780700</c:v>
                </c:pt>
                <c:pt idx="356">
                  <c:v>1498410</c:v>
                </c:pt>
                <c:pt idx="357">
                  <c:v>1759409.9999999995</c:v>
                </c:pt>
                <c:pt idx="358">
                  <c:v>2205800</c:v>
                </c:pt>
                <c:pt idx="359">
                  <c:v>2390365</c:v>
                </c:pt>
                <c:pt idx="360">
                  <c:v>2548011</c:v>
                </c:pt>
                <c:pt idx="361">
                  <c:v>2661930</c:v>
                </c:pt>
                <c:pt idx="362">
                  <c:v>2780010</c:v>
                </c:pt>
                <c:pt idx="363">
                  <c:v>2974128</c:v>
                </c:pt>
                <c:pt idx="364">
                  <c:v>3012018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0-4150-82ED-5D0EDD47E14D}"/>
            </c:ext>
          </c:extLst>
        </c:ser>
        <c:ser>
          <c:idx val="4"/>
          <c:order val="1"/>
          <c:tx>
            <c:strRef>
              <c:f>Sheet1!$N$10</c:f>
              <c:strCache>
                <c:ptCount val="1"/>
                <c:pt idx="0">
                  <c:v>観測値-計算値: 調整後_log_err_sq2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Sheet1!$N$11:$N$375</c:f>
              <c:numCache>
                <c:formatCode>#,##0_);[Red]\(#,##0\)</c:formatCode>
                <c:ptCount val="365"/>
                <c:pt idx="0">
                  <c:v>3201999.0000000005</c:v>
                </c:pt>
                <c:pt idx="1">
                  <c:v>3201999.0000000005</c:v>
                </c:pt>
                <c:pt idx="2">
                  <c:v>3201999.0000000005</c:v>
                </c:pt>
                <c:pt idx="3">
                  <c:v>3178999</c:v>
                </c:pt>
                <c:pt idx="4">
                  <c:v>3139999</c:v>
                </c:pt>
                <c:pt idx="5">
                  <c:v>3149999</c:v>
                </c:pt>
                <c:pt idx="6">
                  <c:v>3196999</c:v>
                </c:pt>
                <c:pt idx="7">
                  <c:v>2839491.0000000005</c:v>
                </c:pt>
                <c:pt idx="8">
                  <c:v>1449500</c:v>
                </c:pt>
                <c:pt idx="9">
                  <c:v>3022431</c:v>
                </c:pt>
                <c:pt idx="10">
                  <c:v>3051194.9999999995</c:v>
                </c:pt>
                <c:pt idx="11">
                  <c:v>2991274</c:v>
                </c:pt>
                <c:pt idx="12">
                  <c:v>2990876</c:v>
                </c:pt>
                <c:pt idx="13">
                  <c:v>2867710</c:v>
                </c:pt>
                <c:pt idx="14">
                  <c:v>1184400</c:v>
                </c:pt>
                <c:pt idx="15">
                  <c:v>641379.99999999953</c:v>
                </c:pt>
                <c:pt idx="16">
                  <c:v>665750.00000000047</c:v>
                </c:pt>
                <c:pt idx="17">
                  <c:v>56600</c:v>
                </c:pt>
                <c:pt idx="18">
                  <c:v>346440</c:v>
                </c:pt>
                <c:pt idx="19">
                  <c:v>651390</c:v>
                </c:pt>
                <c:pt idx="20">
                  <c:v>903650</c:v>
                </c:pt>
                <c:pt idx="21">
                  <c:v>1223630.0000000002</c:v>
                </c:pt>
                <c:pt idx="22">
                  <c:v>803589.99999999953</c:v>
                </c:pt>
                <c:pt idx="23">
                  <c:v>460830</c:v>
                </c:pt>
                <c:pt idx="24">
                  <c:v>469290</c:v>
                </c:pt>
                <c:pt idx="25">
                  <c:v>772780</c:v>
                </c:pt>
                <c:pt idx="26">
                  <c:v>1128740.0000000002</c:v>
                </c:pt>
                <c:pt idx="27">
                  <c:v>1395550</c:v>
                </c:pt>
                <c:pt idx="28">
                  <c:v>1551690</c:v>
                </c:pt>
                <c:pt idx="29">
                  <c:v>1825640</c:v>
                </c:pt>
                <c:pt idx="30">
                  <c:v>1844830.0000000005</c:v>
                </c:pt>
                <c:pt idx="31">
                  <c:v>2037110</c:v>
                </c:pt>
                <c:pt idx="32">
                  <c:v>2241330</c:v>
                </c:pt>
                <c:pt idx="33">
                  <c:v>2399124</c:v>
                </c:pt>
                <c:pt idx="34">
                  <c:v>2485804</c:v>
                </c:pt>
                <c:pt idx="35">
                  <c:v>2544281.9999999995</c:v>
                </c:pt>
                <c:pt idx="36">
                  <c:v>2621461</c:v>
                </c:pt>
                <c:pt idx="37">
                  <c:v>3036800</c:v>
                </c:pt>
                <c:pt idx="38">
                  <c:v>2371920</c:v>
                </c:pt>
                <c:pt idx="39">
                  <c:v>2363829.9999999995</c:v>
                </c:pt>
                <c:pt idx="40">
                  <c:v>2908760</c:v>
                </c:pt>
                <c:pt idx="41">
                  <c:v>1635209.9999999995</c:v>
                </c:pt>
                <c:pt idx="42">
                  <c:v>1862260</c:v>
                </c:pt>
                <c:pt idx="43">
                  <c:v>2977660</c:v>
                </c:pt>
                <c:pt idx="44">
                  <c:v>2125860</c:v>
                </c:pt>
                <c:pt idx="45">
                  <c:v>2248240</c:v>
                </c:pt>
                <c:pt idx="46">
                  <c:v>2055110</c:v>
                </c:pt>
                <c:pt idx="47">
                  <c:v>1959650</c:v>
                </c:pt>
                <c:pt idx="48">
                  <c:v>2316899.9999999995</c:v>
                </c:pt>
                <c:pt idx="49">
                  <c:v>4454809.9999999991</c:v>
                </c:pt>
                <c:pt idx="50">
                  <c:v>2648170</c:v>
                </c:pt>
                <c:pt idx="51">
                  <c:v>1977370</c:v>
                </c:pt>
                <c:pt idx="52">
                  <c:v>1942480</c:v>
                </c:pt>
                <c:pt idx="53">
                  <c:v>2236790</c:v>
                </c:pt>
                <c:pt idx="54">
                  <c:v>2231840</c:v>
                </c:pt>
                <c:pt idx="55">
                  <c:v>1738229.9999999995</c:v>
                </c:pt>
                <c:pt idx="56">
                  <c:v>1628790</c:v>
                </c:pt>
                <c:pt idx="57">
                  <c:v>1737940</c:v>
                </c:pt>
                <c:pt idx="58">
                  <c:v>1809360</c:v>
                </c:pt>
                <c:pt idx="59">
                  <c:v>2232430</c:v>
                </c:pt>
                <c:pt idx="60">
                  <c:v>983370</c:v>
                </c:pt>
                <c:pt idx="61">
                  <c:v>897679.99999999953</c:v>
                </c:pt>
                <c:pt idx="62">
                  <c:v>1160259.9999999998</c:v>
                </c:pt>
                <c:pt idx="63">
                  <c:v>1342460</c:v>
                </c:pt>
                <c:pt idx="64">
                  <c:v>1568800</c:v>
                </c:pt>
                <c:pt idx="65">
                  <c:v>1808180.0000000005</c:v>
                </c:pt>
                <c:pt idx="66">
                  <c:v>2036180</c:v>
                </c:pt>
                <c:pt idx="67">
                  <c:v>2180070</c:v>
                </c:pt>
                <c:pt idx="68">
                  <c:v>1445050</c:v>
                </c:pt>
                <c:pt idx="69">
                  <c:v>1822520</c:v>
                </c:pt>
                <c:pt idx="70">
                  <c:v>2169089.9999999995</c:v>
                </c:pt>
                <c:pt idx="71">
                  <c:v>1692250</c:v>
                </c:pt>
                <c:pt idx="72">
                  <c:v>1605909.9999999995</c:v>
                </c:pt>
                <c:pt idx="73">
                  <c:v>1789810</c:v>
                </c:pt>
                <c:pt idx="74">
                  <c:v>2045220</c:v>
                </c:pt>
                <c:pt idx="75">
                  <c:v>2264110.0000000005</c:v>
                </c:pt>
                <c:pt idx="76">
                  <c:v>2090669.9999999998</c:v>
                </c:pt>
                <c:pt idx="77">
                  <c:v>1056390</c:v>
                </c:pt>
                <c:pt idx="78">
                  <c:v>1416530</c:v>
                </c:pt>
                <c:pt idx="79">
                  <c:v>3623660</c:v>
                </c:pt>
                <c:pt idx="80">
                  <c:v>1900010</c:v>
                </c:pt>
                <c:pt idx="81">
                  <c:v>973040</c:v>
                </c:pt>
                <c:pt idx="82">
                  <c:v>1465840</c:v>
                </c:pt>
                <c:pt idx="83">
                  <c:v>290700</c:v>
                </c:pt>
                <c:pt idx="84">
                  <c:v>2528160.0000000009</c:v>
                </c:pt>
                <c:pt idx="85">
                  <c:v>881540</c:v>
                </c:pt>
                <c:pt idx="86">
                  <c:v>459740</c:v>
                </c:pt>
                <c:pt idx="87">
                  <c:v>432690</c:v>
                </c:pt>
                <c:pt idx="88">
                  <c:v>543360</c:v>
                </c:pt>
                <c:pt idx="89">
                  <c:v>671250</c:v>
                </c:pt>
                <c:pt idx="90">
                  <c:v>806080</c:v>
                </c:pt>
                <c:pt idx="91">
                  <c:v>914840</c:v>
                </c:pt>
                <c:pt idx="92">
                  <c:v>1108610</c:v>
                </c:pt>
                <c:pt idx="93">
                  <c:v>1593630</c:v>
                </c:pt>
                <c:pt idx="94">
                  <c:v>1669070</c:v>
                </c:pt>
                <c:pt idx="95">
                  <c:v>546489.99999999953</c:v>
                </c:pt>
                <c:pt idx="96">
                  <c:v>3146790</c:v>
                </c:pt>
                <c:pt idx="97">
                  <c:v>99710</c:v>
                </c:pt>
                <c:pt idx="98">
                  <c:v>42820</c:v>
                </c:pt>
                <c:pt idx="99">
                  <c:v>302699.99999999953</c:v>
                </c:pt>
                <c:pt idx="100">
                  <c:v>718970.00000000047</c:v>
                </c:pt>
                <c:pt idx="101">
                  <c:v>1659290</c:v>
                </c:pt>
                <c:pt idx="102">
                  <c:v>648850</c:v>
                </c:pt>
                <c:pt idx="103">
                  <c:v>4235980</c:v>
                </c:pt>
                <c:pt idx="104">
                  <c:v>4268990</c:v>
                </c:pt>
                <c:pt idx="105">
                  <c:v>2692700</c:v>
                </c:pt>
                <c:pt idx="106">
                  <c:v>1497440</c:v>
                </c:pt>
                <c:pt idx="107">
                  <c:v>1223400</c:v>
                </c:pt>
                <c:pt idx="108">
                  <c:v>1462880</c:v>
                </c:pt>
                <c:pt idx="109">
                  <c:v>1646410</c:v>
                </c:pt>
                <c:pt idx="110">
                  <c:v>1819410</c:v>
                </c:pt>
                <c:pt idx="111">
                  <c:v>1767740</c:v>
                </c:pt>
                <c:pt idx="112">
                  <c:v>1992240</c:v>
                </c:pt>
                <c:pt idx="113">
                  <c:v>2407970</c:v>
                </c:pt>
                <c:pt idx="114">
                  <c:v>2794340</c:v>
                </c:pt>
                <c:pt idx="115">
                  <c:v>2887180</c:v>
                </c:pt>
                <c:pt idx="116">
                  <c:v>339680</c:v>
                </c:pt>
                <c:pt idx="117">
                  <c:v>709430</c:v>
                </c:pt>
                <c:pt idx="118">
                  <c:v>4098759.9999999991</c:v>
                </c:pt>
                <c:pt idx="119">
                  <c:v>2295700</c:v>
                </c:pt>
                <c:pt idx="120">
                  <c:v>392710</c:v>
                </c:pt>
                <c:pt idx="121">
                  <c:v>589090</c:v>
                </c:pt>
                <c:pt idx="122">
                  <c:v>257890</c:v>
                </c:pt>
                <c:pt idx="123">
                  <c:v>389640</c:v>
                </c:pt>
                <c:pt idx="124">
                  <c:v>426780</c:v>
                </c:pt>
                <c:pt idx="125">
                  <c:v>5370770</c:v>
                </c:pt>
                <c:pt idx="126">
                  <c:v>73632600</c:v>
                </c:pt>
                <c:pt idx="127">
                  <c:v>29666000</c:v>
                </c:pt>
                <c:pt idx="128">
                  <c:v>3841700</c:v>
                </c:pt>
                <c:pt idx="129">
                  <c:v>1289300</c:v>
                </c:pt>
                <c:pt idx="130">
                  <c:v>1471600</c:v>
                </c:pt>
                <c:pt idx="131">
                  <c:v>1373410</c:v>
                </c:pt>
                <c:pt idx="132">
                  <c:v>775879.99999999907</c:v>
                </c:pt>
                <c:pt idx="133">
                  <c:v>1627900.0000000009</c:v>
                </c:pt>
                <c:pt idx="134">
                  <c:v>1615470</c:v>
                </c:pt>
                <c:pt idx="135">
                  <c:v>1250820</c:v>
                </c:pt>
                <c:pt idx="136">
                  <c:v>4956300</c:v>
                </c:pt>
                <c:pt idx="137">
                  <c:v>30170</c:v>
                </c:pt>
                <c:pt idx="138">
                  <c:v>756640</c:v>
                </c:pt>
                <c:pt idx="139">
                  <c:v>1133710</c:v>
                </c:pt>
                <c:pt idx="140">
                  <c:v>796070</c:v>
                </c:pt>
                <c:pt idx="141">
                  <c:v>165490</c:v>
                </c:pt>
                <c:pt idx="142">
                  <c:v>169040</c:v>
                </c:pt>
                <c:pt idx="143">
                  <c:v>535240</c:v>
                </c:pt>
                <c:pt idx="144">
                  <c:v>772840.00000000047</c:v>
                </c:pt>
                <c:pt idx="145">
                  <c:v>1167080</c:v>
                </c:pt>
                <c:pt idx="146">
                  <c:v>1384019.9999999995</c:v>
                </c:pt>
                <c:pt idx="147">
                  <c:v>1597190</c:v>
                </c:pt>
                <c:pt idx="148">
                  <c:v>2244070</c:v>
                </c:pt>
                <c:pt idx="149">
                  <c:v>6557330</c:v>
                </c:pt>
                <c:pt idx="150">
                  <c:v>34281960</c:v>
                </c:pt>
                <c:pt idx="151">
                  <c:v>6380410</c:v>
                </c:pt>
                <c:pt idx="152">
                  <c:v>5328600.0000000019</c:v>
                </c:pt>
                <c:pt idx="153">
                  <c:v>3711350</c:v>
                </c:pt>
                <c:pt idx="154">
                  <c:v>2076440</c:v>
                </c:pt>
                <c:pt idx="155">
                  <c:v>1800390</c:v>
                </c:pt>
                <c:pt idx="156">
                  <c:v>5300790</c:v>
                </c:pt>
                <c:pt idx="157">
                  <c:v>2952750</c:v>
                </c:pt>
                <c:pt idx="158">
                  <c:v>9770050</c:v>
                </c:pt>
                <c:pt idx="159">
                  <c:v>11270170</c:v>
                </c:pt>
                <c:pt idx="160">
                  <c:v>6094790</c:v>
                </c:pt>
                <c:pt idx="161">
                  <c:v>2284100</c:v>
                </c:pt>
                <c:pt idx="162">
                  <c:v>1453340.0000000009</c:v>
                </c:pt>
                <c:pt idx="163">
                  <c:v>1591670</c:v>
                </c:pt>
                <c:pt idx="164">
                  <c:v>1407730</c:v>
                </c:pt>
                <c:pt idx="165">
                  <c:v>2239040</c:v>
                </c:pt>
                <c:pt idx="166">
                  <c:v>2937570.0000000009</c:v>
                </c:pt>
                <c:pt idx="167">
                  <c:v>2688580</c:v>
                </c:pt>
                <c:pt idx="168">
                  <c:v>2725170</c:v>
                </c:pt>
                <c:pt idx="169">
                  <c:v>2809910</c:v>
                </c:pt>
                <c:pt idx="170">
                  <c:v>2678320</c:v>
                </c:pt>
                <c:pt idx="171">
                  <c:v>3772420</c:v>
                </c:pt>
                <c:pt idx="172">
                  <c:v>450930</c:v>
                </c:pt>
                <c:pt idx="173">
                  <c:v>662420</c:v>
                </c:pt>
                <c:pt idx="174">
                  <c:v>515760</c:v>
                </c:pt>
                <c:pt idx="175">
                  <c:v>214900</c:v>
                </c:pt>
                <c:pt idx="176">
                  <c:v>1848180</c:v>
                </c:pt>
                <c:pt idx="177">
                  <c:v>2219200</c:v>
                </c:pt>
                <c:pt idx="178">
                  <c:v>156120</c:v>
                </c:pt>
                <c:pt idx="179">
                  <c:v>5105270</c:v>
                </c:pt>
                <c:pt idx="180">
                  <c:v>140113900</c:v>
                </c:pt>
                <c:pt idx="181">
                  <c:v>180559300</c:v>
                </c:pt>
                <c:pt idx="182">
                  <c:v>39899100.000000007</c:v>
                </c:pt>
                <c:pt idx="183">
                  <c:v>153018800</c:v>
                </c:pt>
                <c:pt idx="184">
                  <c:v>10810500</c:v>
                </c:pt>
                <c:pt idx="185">
                  <c:v>3102900</c:v>
                </c:pt>
                <c:pt idx="186">
                  <c:v>7876500</c:v>
                </c:pt>
                <c:pt idx="187">
                  <c:v>7736200</c:v>
                </c:pt>
                <c:pt idx="188">
                  <c:v>6909700</c:v>
                </c:pt>
                <c:pt idx="189">
                  <c:v>77036300</c:v>
                </c:pt>
                <c:pt idx="190">
                  <c:v>187829999.99999997</c:v>
                </c:pt>
                <c:pt idx="191">
                  <c:v>5113200</c:v>
                </c:pt>
                <c:pt idx="192">
                  <c:v>5354300</c:v>
                </c:pt>
                <c:pt idx="193">
                  <c:v>18057500</c:v>
                </c:pt>
                <c:pt idx="194">
                  <c:v>18251900</c:v>
                </c:pt>
                <c:pt idx="195">
                  <c:v>21481300</c:v>
                </c:pt>
                <c:pt idx="196">
                  <c:v>15312600</c:v>
                </c:pt>
                <c:pt idx="197">
                  <c:v>13503500</c:v>
                </c:pt>
                <c:pt idx="198">
                  <c:v>10909100</c:v>
                </c:pt>
                <c:pt idx="199">
                  <c:v>7698700</c:v>
                </c:pt>
                <c:pt idx="200">
                  <c:v>8091900</c:v>
                </c:pt>
                <c:pt idx="201">
                  <c:v>7802500</c:v>
                </c:pt>
                <c:pt idx="202">
                  <c:v>6257600</c:v>
                </c:pt>
                <c:pt idx="203">
                  <c:v>5983900</c:v>
                </c:pt>
                <c:pt idx="204">
                  <c:v>3768100.0000000009</c:v>
                </c:pt>
                <c:pt idx="205">
                  <c:v>865200</c:v>
                </c:pt>
                <c:pt idx="206">
                  <c:v>4998400</c:v>
                </c:pt>
                <c:pt idx="207">
                  <c:v>1485250</c:v>
                </c:pt>
                <c:pt idx="208">
                  <c:v>1571900</c:v>
                </c:pt>
                <c:pt idx="209">
                  <c:v>1454300</c:v>
                </c:pt>
                <c:pt idx="210">
                  <c:v>446210</c:v>
                </c:pt>
                <c:pt idx="211">
                  <c:v>103130</c:v>
                </c:pt>
                <c:pt idx="212">
                  <c:v>109980</c:v>
                </c:pt>
                <c:pt idx="213">
                  <c:v>289110</c:v>
                </c:pt>
                <c:pt idx="214">
                  <c:v>398030.00000000047</c:v>
                </c:pt>
                <c:pt idx="215">
                  <c:v>615769.99999999953</c:v>
                </c:pt>
                <c:pt idx="216">
                  <c:v>749600</c:v>
                </c:pt>
                <c:pt idx="217">
                  <c:v>931530</c:v>
                </c:pt>
                <c:pt idx="218">
                  <c:v>1801590</c:v>
                </c:pt>
                <c:pt idx="219">
                  <c:v>2615090</c:v>
                </c:pt>
                <c:pt idx="220">
                  <c:v>11883790</c:v>
                </c:pt>
                <c:pt idx="221">
                  <c:v>11852880</c:v>
                </c:pt>
                <c:pt idx="222">
                  <c:v>1039479.9999999991</c:v>
                </c:pt>
                <c:pt idx="223">
                  <c:v>814670</c:v>
                </c:pt>
                <c:pt idx="224">
                  <c:v>1019120</c:v>
                </c:pt>
                <c:pt idx="225">
                  <c:v>777440</c:v>
                </c:pt>
                <c:pt idx="226">
                  <c:v>543090</c:v>
                </c:pt>
                <c:pt idx="227">
                  <c:v>29449.999999999534</c:v>
                </c:pt>
                <c:pt idx="228">
                  <c:v>3837800</c:v>
                </c:pt>
                <c:pt idx="229">
                  <c:v>1466190</c:v>
                </c:pt>
                <c:pt idx="230">
                  <c:v>588970</c:v>
                </c:pt>
                <c:pt idx="231">
                  <c:v>5639.9999999995343</c:v>
                </c:pt>
                <c:pt idx="232">
                  <c:v>494010</c:v>
                </c:pt>
                <c:pt idx="233">
                  <c:v>451040.00000000047</c:v>
                </c:pt>
                <c:pt idx="234">
                  <c:v>1109110</c:v>
                </c:pt>
                <c:pt idx="235">
                  <c:v>1348090.0000000005</c:v>
                </c:pt>
                <c:pt idx="236">
                  <c:v>3177180</c:v>
                </c:pt>
                <c:pt idx="237">
                  <c:v>2220270</c:v>
                </c:pt>
                <c:pt idx="238">
                  <c:v>2774930</c:v>
                </c:pt>
                <c:pt idx="239">
                  <c:v>1848710.0000000005</c:v>
                </c:pt>
                <c:pt idx="240">
                  <c:v>2495760</c:v>
                </c:pt>
                <c:pt idx="241">
                  <c:v>1775710</c:v>
                </c:pt>
                <c:pt idx="242">
                  <c:v>2430700</c:v>
                </c:pt>
                <c:pt idx="243">
                  <c:v>2618969.9999999995</c:v>
                </c:pt>
                <c:pt idx="244">
                  <c:v>1536149.9999999995</c:v>
                </c:pt>
                <c:pt idx="245">
                  <c:v>1535310</c:v>
                </c:pt>
                <c:pt idx="246">
                  <c:v>1573610</c:v>
                </c:pt>
                <c:pt idx="247">
                  <c:v>1610010</c:v>
                </c:pt>
                <c:pt idx="248">
                  <c:v>899880</c:v>
                </c:pt>
                <c:pt idx="249">
                  <c:v>1083850</c:v>
                </c:pt>
                <c:pt idx="250">
                  <c:v>1279680</c:v>
                </c:pt>
                <c:pt idx="251">
                  <c:v>1355690</c:v>
                </c:pt>
                <c:pt idx="252">
                  <c:v>1671160</c:v>
                </c:pt>
                <c:pt idx="253">
                  <c:v>1498370</c:v>
                </c:pt>
                <c:pt idx="254">
                  <c:v>1898580</c:v>
                </c:pt>
                <c:pt idx="255">
                  <c:v>1661350</c:v>
                </c:pt>
                <c:pt idx="256">
                  <c:v>1984380</c:v>
                </c:pt>
                <c:pt idx="257">
                  <c:v>44710</c:v>
                </c:pt>
                <c:pt idx="258">
                  <c:v>200540</c:v>
                </c:pt>
                <c:pt idx="259">
                  <c:v>412390</c:v>
                </c:pt>
                <c:pt idx="260">
                  <c:v>104600</c:v>
                </c:pt>
                <c:pt idx="261">
                  <c:v>166010</c:v>
                </c:pt>
                <c:pt idx="262">
                  <c:v>391450</c:v>
                </c:pt>
                <c:pt idx="263">
                  <c:v>857730</c:v>
                </c:pt>
                <c:pt idx="264">
                  <c:v>545160</c:v>
                </c:pt>
                <c:pt idx="265">
                  <c:v>87710</c:v>
                </c:pt>
                <c:pt idx="266">
                  <c:v>186600</c:v>
                </c:pt>
                <c:pt idx="267">
                  <c:v>446720</c:v>
                </c:pt>
                <c:pt idx="268">
                  <c:v>814480</c:v>
                </c:pt>
                <c:pt idx="269">
                  <c:v>958180</c:v>
                </c:pt>
                <c:pt idx="270">
                  <c:v>1070800</c:v>
                </c:pt>
                <c:pt idx="271">
                  <c:v>1285000</c:v>
                </c:pt>
                <c:pt idx="272">
                  <c:v>1395020</c:v>
                </c:pt>
                <c:pt idx="273">
                  <c:v>1533946</c:v>
                </c:pt>
                <c:pt idx="274">
                  <c:v>1605766</c:v>
                </c:pt>
                <c:pt idx="275">
                  <c:v>1846994</c:v>
                </c:pt>
                <c:pt idx="276">
                  <c:v>2090805</c:v>
                </c:pt>
                <c:pt idx="277">
                  <c:v>2262167</c:v>
                </c:pt>
                <c:pt idx="278">
                  <c:v>2263789</c:v>
                </c:pt>
                <c:pt idx="279">
                  <c:v>2380367</c:v>
                </c:pt>
                <c:pt idx="280">
                  <c:v>1688860</c:v>
                </c:pt>
                <c:pt idx="281">
                  <c:v>402809.99999999953</c:v>
                </c:pt>
                <c:pt idx="282">
                  <c:v>319960</c:v>
                </c:pt>
                <c:pt idx="283">
                  <c:v>563690</c:v>
                </c:pt>
                <c:pt idx="284">
                  <c:v>1076560</c:v>
                </c:pt>
                <c:pt idx="285">
                  <c:v>1293260</c:v>
                </c:pt>
                <c:pt idx="286">
                  <c:v>1473980</c:v>
                </c:pt>
                <c:pt idx="287">
                  <c:v>1635850</c:v>
                </c:pt>
                <c:pt idx="288">
                  <c:v>1765130</c:v>
                </c:pt>
                <c:pt idx="289">
                  <c:v>1845048</c:v>
                </c:pt>
                <c:pt idx="290">
                  <c:v>2012167</c:v>
                </c:pt>
                <c:pt idx="291">
                  <c:v>2189173</c:v>
                </c:pt>
                <c:pt idx="292">
                  <c:v>2492158</c:v>
                </c:pt>
                <c:pt idx="293">
                  <c:v>2303034</c:v>
                </c:pt>
                <c:pt idx="294">
                  <c:v>2325216</c:v>
                </c:pt>
                <c:pt idx="295">
                  <c:v>2406819</c:v>
                </c:pt>
                <c:pt idx="296">
                  <c:v>2612407</c:v>
                </c:pt>
                <c:pt idx="297">
                  <c:v>2545428</c:v>
                </c:pt>
                <c:pt idx="298">
                  <c:v>2465389</c:v>
                </c:pt>
                <c:pt idx="299">
                  <c:v>2594083</c:v>
                </c:pt>
                <c:pt idx="300">
                  <c:v>2464856</c:v>
                </c:pt>
                <c:pt idx="301">
                  <c:v>2640150</c:v>
                </c:pt>
                <c:pt idx="302">
                  <c:v>2540869</c:v>
                </c:pt>
                <c:pt idx="303">
                  <c:v>2663721</c:v>
                </c:pt>
                <c:pt idx="304">
                  <c:v>2713576</c:v>
                </c:pt>
                <c:pt idx="305">
                  <c:v>2807001</c:v>
                </c:pt>
                <c:pt idx="306">
                  <c:v>2811010</c:v>
                </c:pt>
                <c:pt idx="307">
                  <c:v>2836313</c:v>
                </c:pt>
                <c:pt idx="308">
                  <c:v>2858447</c:v>
                </c:pt>
                <c:pt idx="309">
                  <c:v>2908839</c:v>
                </c:pt>
                <c:pt idx="310">
                  <c:v>923910</c:v>
                </c:pt>
                <c:pt idx="311">
                  <c:v>1399940</c:v>
                </c:pt>
                <c:pt idx="312">
                  <c:v>1635930</c:v>
                </c:pt>
                <c:pt idx="313">
                  <c:v>1850300</c:v>
                </c:pt>
                <c:pt idx="314">
                  <c:v>1240100</c:v>
                </c:pt>
                <c:pt idx="315">
                  <c:v>1681910</c:v>
                </c:pt>
                <c:pt idx="316">
                  <c:v>1889090</c:v>
                </c:pt>
                <c:pt idx="317">
                  <c:v>1949470</c:v>
                </c:pt>
                <c:pt idx="318">
                  <c:v>2282540</c:v>
                </c:pt>
                <c:pt idx="319">
                  <c:v>2371436</c:v>
                </c:pt>
                <c:pt idx="320">
                  <c:v>927860</c:v>
                </c:pt>
                <c:pt idx="321">
                  <c:v>1128400.0000000005</c:v>
                </c:pt>
                <c:pt idx="322">
                  <c:v>1189870</c:v>
                </c:pt>
                <c:pt idx="323">
                  <c:v>1352910</c:v>
                </c:pt>
                <c:pt idx="324">
                  <c:v>1551040</c:v>
                </c:pt>
                <c:pt idx="325">
                  <c:v>1897600</c:v>
                </c:pt>
                <c:pt idx="326">
                  <c:v>2106390</c:v>
                </c:pt>
                <c:pt idx="327">
                  <c:v>2243180</c:v>
                </c:pt>
                <c:pt idx="328">
                  <c:v>2306056.0000000005</c:v>
                </c:pt>
                <c:pt idx="329">
                  <c:v>2388953</c:v>
                </c:pt>
                <c:pt idx="330">
                  <c:v>2504552</c:v>
                </c:pt>
                <c:pt idx="331">
                  <c:v>2421509</c:v>
                </c:pt>
                <c:pt idx="332">
                  <c:v>2481019</c:v>
                </c:pt>
                <c:pt idx="333">
                  <c:v>2542120</c:v>
                </c:pt>
                <c:pt idx="334">
                  <c:v>2598202</c:v>
                </c:pt>
                <c:pt idx="335">
                  <c:v>2619532</c:v>
                </c:pt>
                <c:pt idx="336">
                  <c:v>2765139</c:v>
                </c:pt>
                <c:pt idx="337">
                  <c:v>2884973</c:v>
                </c:pt>
                <c:pt idx="338">
                  <c:v>2936691</c:v>
                </c:pt>
                <c:pt idx="339">
                  <c:v>2949746</c:v>
                </c:pt>
                <c:pt idx="340">
                  <c:v>2965177</c:v>
                </c:pt>
                <c:pt idx="341">
                  <c:v>3028602</c:v>
                </c:pt>
                <c:pt idx="342">
                  <c:v>3047813</c:v>
                </c:pt>
                <c:pt idx="343">
                  <c:v>3086536</c:v>
                </c:pt>
                <c:pt idx="344">
                  <c:v>3188910</c:v>
                </c:pt>
                <c:pt idx="345">
                  <c:v>1865790</c:v>
                </c:pt>
                <c:pt idx="346">
                  <c:v>2049100</c:v>
                </c:pt>
                <c:pt idx="347">
                  <c:v>2226950</c:v>
                </c:pt>
                <c:pt idx="348">
                  <c:v>2004880</c:v>
                </c:pt>
                <c:pt idx="349">
                  <c:v>2127710</c:v>
                </c:pt>
                <c:pt idx="350">
                  <c:v>1914159.9999999995</c:v>
                </c:pt>
                <c:pt idx="351">
                  <c:v>2132620</c:v>
                </c:pt>
                <c:pt idx="352">
                  <c:v>2350792</c:v>
                </c:pt>
                <c:pt idx="353">
                  <c:v>2375592.9999999995</c:v>
                </c:pt>
                <c:pt idx="354">
                  <c:v>2474940.0000000005</c:v>
                </c:pt>
                <c:pt idx="355">
                  <c:v>2382897</c:v>
                </c:pt>
                <c:pt idx="356">
                  <c:v>2330374</c:v>
                </c:pt>
                <c:pt idx="357">
                  <c:v>2428501.9999999995</c:v>
                </c:pt>
                <c:pt idx="358">
                  <c:v>2558893</c:v>
                </c:pt>
                <c:pt idx="359">
                  <c:v>2585751</c:v>
                </c:pt>
                <c:pt idx="360">
                  <c:v>2648421</c:v>
                </c:pt>
                <c:pt idx="361">
                  <c:v>2697954</c:v>
                </c:pt>
                <c:pt idx="362">
                  <c:v>2770036</c:v>
                </c:pt>
                <c:pt idx="363">
                  <c:v>2932706</c:v>
                </c:pt>
                <c:pt idx="364">
                  <c:v>2948674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0-4150-82ED-5D0EDD47E14D}"/>
            </c:ext>
          </c:extLst>
        </c:ser>
        <c:ser>
          <c:idx val="5"/>
          <c:order val="2"/>
          <c:tx>
            <c:strRef>
              <c:f>Sheet1!$O$10</c:f>
              <c:strCache>
                <c:ptCount val="1"/>
                <c:pt idx="0">
                  <c:v>観測値-計算値: 調整後_log_err_sq3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Sheet1!$O$11:$O$375</c:f>
              <c:numCache>
                <c:formatCode>#,##0_);[Red]\(#,##0\)</c:formatCode>
                <c:ptCount val="365"/>
                <c:pt idx="0">
                  <c:v>3201999.0000000005</c:v>
                </c:pt>
                <c:pt idx="1">
                  <c:v>3201999.0000000005</c:v>
                </c:pt>
                <c:pt idx="2">
                  <c:v>3201999.0000000005</c:v>
                </c:pt>
                <c:pt idx="3">
                  <c:v>3178999</c:v>
                </c:pt>
                <c:pt idx="4">
                  <c:v>3139999</c:v>
                </c:pt>
                <c:pt idx="5">
                  <c:v>3149999</c:v>
                </c:pt>
                <c:pt idx="6">
                  <c:v>3196999</c:v>
                </c:pt>
                <c:pt idx="7">
                  <c:v>2963829.0000000005</c:v>
                </c:pt>
                <c:pt idx="8">
                  <c:v>1351090</c:v>
                </c:pt>
                <c:pt idx="9">
                  <c:v>3112887</c:v>
                </c:pt>
                <c:pt idx="10">
                  <c:v>3128173.9999999995</c:v>
                </c:pt>
                <c:pt idx="11">
                  <c:v>3056675</c:v>
                </c:pt>
                <c:pt idx="12">
                  <c:v>3064634</c:v>
                </c:pt>
                <c:pt idx="13">
                  <c:v>3978990</c:v>
                </c:pt>
                <c:pt idx="14">
                  <c:v>574040</c:v>
                </c:pt>
                <c:pt idx="15">
                  <c:v>893200.00000000047</c:v>
                </c:pt>
                <c:pt idx="16">
                  <c:v>691489.99999999953</c:v>
                </c:pt>
                <c:pt idx="17">
                  <c:v>3350540</c:v>
                </c:pt>
                <c:pt idx="18">
                  <c:v>1366370</c:v>
                </c:pt>
                <c:pt idx="19">
                  <c:v>1525680</c:v>
                </c:pt>
                <c:pt idx="20">
                  <c:v>1651410</c:v>
                </c:pt>
                <c:pt idx="21">
                  <c:v>1860860</c:v>
                </c:pt>
                <c:pt idx="22">
                  <c:v>1719099.9999999998</c:v>
                </c:pt>
                <c:pt idx="23">
                  <c:v>3124040</c:v>
                </c:pt>
                <c:pt idx="24">
                  <c:v>1314540</c:v>
                </c:pt>
                <c:pt idx="25">
                  <c:v>1493720</c:v>
                </c:pt>
                <c:pt idx="26">
                  <c:v>1742510</c:v>
                </c:pt>
                <c:pt idx="27">
                  <c:v>1916620</c:v>
                </c:pt>
                <c:pt idx="28">
                  <c:v>1992570</c:v>
                </c:pt>
                <c:pt idx="29">
                  <c:v>2259710</c:v>
                </c:pt>
                <c:pt idx="30">
                  <c:v>2191820.0000000005</c:v>
                </c:pt>
                <c:pt idx="31">
                  <c:v>2327138</c:v>
                </c:pt>
                <c:pt idx="32">
                  <c:v>2482898</c:v>
                </c:pt>
                <c:pt idx="33">
                  <c:v>2599265</c:v>
                </c:pt>
                <c:pt idx="34">
                  <c:v>2650802</c:v>
                </c:pt>
                <c:pt idx="35">
                  <c:v>2678428.9999999995</c:v>
                </c:pt>
                <c:pt idx="36">
                  <c:v>2729067</c:v>
                </c:pt>
                <c:pt idx="37">
                  <c:v>3265309</c:v>
                </c:pt>
                <c:pt idx="38">
                  <c:v>2811740</c:v>
                </c:pt>
                <c:pt idx="39">
                  <c:v>2736213.9999999995</c:v>
                </c:pt>
                <c:pt idx="40">
                  <c:v>3223809</c:v>
                </c:pt>
                <c:pt idx="41">
                  <c:v>2258920.0000000005</c:v>
                </c:pt>
                <c:pt idx="42">
                  <c:v>2346640</c:v>
                </c:pt>
                <c:pt idx="43">
                  <c:v>3815100</c:v>
                </c:pt>
                <c:pt idx="44">
                  <c:v>2949470</c:v>
                </c:pt>
                <c:pt idx="45">
                  <c:v>2952280</c:v>
                </c:pt>
                <c:pt idx="46">
                  <c:v>2655580</c:v>
                </c:pt>
                <c:pt idx="47">
                  <c:v>2469620</c:v>
                </c:pt>
                <c:pt idx="48">
                  <c:v>2749949.9999999995</c:v>
                </c:pt>
                <c:pt idx="49">
                  <c:v>538839.99999999907</c:v>
                </c:pt>
                <c:pt idx="50">
                  <c:v>3834450</c:v>
                </c:pt>
                <c:pt idx="51">
                  <c:v>2993260</c:v>
                </c:pt>
                <c:pt idx="52">
                  <c:v>2811430</c:v>
                </c:pt>
                <c:pt idx="53">
                  <c:v>2978270</c:v>
                </c:pt>
                <c:pt idx="54">
                  <c:v>2863250</c:v>
                </c:pt>
                <c:pt idx="55">
                  <c:v>2083450.0000000005</c:v>
                </c:pt>
                <c:pt idx="56">
                  <c:v>2238130</c:v>
                </c:pt>
                <c:pt idx="57">
                  <c:v>2254150</c:v>
                </c:pt>
                <c:pt idx="58">
                  <c:v>2244420</c:v>
                </c:pt>
                <c:pt idx="59">
                  <c:v>2597330</c:v>
                </c:pt>
                <c:pt idx="60">
                  <c:v>1822430.0000000002</c:v>
                </c:pt>
                <c:pt idx="61">
                  <c:v>1612489.9999999995</c:v>
                </c:pt>
                <c:pt idx="62">
                  <c:v>2748710</c:v>
                </c:pt>
                <c:pt idx="63">
                  <c:v>1857020</c:v>
                </c:pt>
                <c:pt idx="64">
                  <c:v>2002590</c:v>
                </c:pt>
                <c:pt idx="65">
                  <c:v>2172120.0000000005</c:v>
                </c:pt>
                <c:pt idx="66">
                  <c:v>2339941</c:v>
                </c:pt>
                <c:pt idx="67">
                  <c:v>2432350</c:v>
                </c:pt>
                <c:pt idx="68">
                  <c:v>1903370</c:v>
                </c:pt>
                <c:pt idx="69">
                  <c:v>2208670</c:v>
                </c:pt>
                <c:pt idx="70">
                  <c:v>1977580.0000000005</c:v>
                </c:pt>
                <c:pt idx="71">
                  <c:v>2265850</c:v>
                </c:pt>
                <c:pt idx="72">
                  <c:v>2092739.9999999995</c:v>
                </c:pt>
                <c:pt idx="73">
                  <c:v>2200740</c:v>
                </c:pt>
                <c:pt idx="74">
                  <c:v>2390628</c:v>
                </c:pt>
                <c:pt idx="75">
                  <c:v>2554763.0000000005</c:v>
                </c:pt>
                <c:pt idx="76">
                  <c:v>2689830</c:v>
                </c:pt>
                <c:pt idx="77">
                  <c:v>1690880</c:v>
                </c:pt>
                <c:pt idx="78">
                  <c:v>1955390</c:v>
                </c:pt>
                <c:pt idx="79">
                  <c:v>386370</c:v>
                </c:pt>
                <c:pt idx="80">
                  <c:v>3475280</c:v>
                </c:pt>
                <c:pt idx="81">
                  <c:v>2342400</c:v>
                </c:pt>
                <c:pt idx="82">
                  <c:v>507630</c:v>
                </c:pt>
                <c:pt idx="83">
                  <c:v>3011950.0000000009</c:v>
                </c:pt>
                <c:pt idx="84">
                  <c:v>4095280.0000000009</c:v>
                </c:pt>
                <c:pt idx="85">
                  <c:v>2649480</c:v>
                </c:pt>
                <c:pt idx="86">
                  <c:v>2503230</c:v>
                </c:pt>
                <c:pt idx="87">
                  <c:v>1724050</c:v>
                </c:pt>
                <c:pt idx="88">
                  <c:v>1642470</c:v>
                </c:pt>
                <c:pt idx="89">
                  <c:v>1605760</c:v>
                </c:pt>
                <c:pt idx="90">
                  <c:v>2909860</c:v>
                </c:pt>
                <c:pt idx="91">
                  <c:v>1581860</c:v>
                </c:pt>
                <c:pt idx="92">
                  <c:v>1668480</c:v>
                </c:pt>
                <c:pt idx="93">
                  <c:v>2060890</c:v>
                </c:pt>
                <c:pt idx="94">
                  <c:v>2058000</c:v>
                </c:pt>
                <c:pt idx="95">
                  <c:v>1278029.9999999995</c:v>
                </c:pt>
                <c:pt idx="96">
                  <c:v>470470</c:v>
                </c:pt>
                <c:pt idx="97">
                  <c:v>1684070</c:v>
                </c:pt>
                <c:pt idx="98">
                  <c:v>1396800</c:v>
                </c:pt>
                <c:pt idx="99">
                  <c:v>1456559.9999999995</c:v>
                </c:pt>
                <c:pt idx="100">
                  <c:v>2845519.9999999995</c:v>
                </c:pt>
                <c:pt idx="101">
                  <c:v>2491390</c:v>
                </c:pt>
                <c:pt idx="102">
                  <c:v>764820</c:v>
                </c:pt>
                <c:pt idx="103">
                  <c:v>1427550</c:v>
                </c:pt>
                <c:pt idx="104">
                  <c:v>1481830</c:v>
                </c:pt>
                <c:pt idx="105">
                  <c:v>4885750</c:v>
                </c:pt>
                <c:pt idx="106">
                  <c:v>3392720</c:v>
                </c:pt>
                <c:pt idx="107">
                  <c:v>1765070</c:v>
                </c:pt>
                <c:pt idx="108">
                  <c:v>2841090</c:v>
                </c:pt>
                <c:pt idx="109">
                  <c:v>2819000</c:v>
                </c:pt>
                <c:pt idx="110">
                  <c:v>1704970</c:v>
                </c:pt>
                <c:pt idx="111">
                  <c:v>2652400</c:v>
                </c:pt>
                <c:pt idx="112">
                  <c:v>2736630</c:v>
                </c:pt>
                <c:pt idx="113">
                  <c:v>3031880</c:v>
                </c:pt>
                <c:pt idx="114">
                  <c:v>1208150</c:v>
                </c:pt>
                <c:pt idx="115">
                  <c:v>4494260</c:v>
                </c:pt>
                <c:pt idx="116">
                  <c:v>1870160</c:v>
                </c:pt>
                <c:pt idx="117">
                  <c:v>2012470</c:v>
                </c:pt>
                <c:pt idx="118">
                  <c:v>622359.99999999907</c:v>
                </c:pt>
                <c:pt idx="119">
                  <c:v>5579230</c:v>
                </c:pt>
                <c:pt idx="120">
                  <c:v>2069300</c:v>
                </c:pt>
                <c:pt idx="121">
                  <c:v>1837580</c:v>
                </c:pt>
                <c:pt idx="122">
                  <c:v>2708340</c:v>
                </c:pt>
                <c:pt idx="123">
                  <c:v>2155730</c:v>
                </c:pt>
                <c:pt idx="124">
                  <c:v>2125220</c:v>
                </c:pt>
                <c:pt idx="125">
                  <c:v>2191339.9999999991</c:v>
                </c:pt>
                <c:pt idx="126">
                  <c:v>77326310</c:v>
                </c:pt>
                <c:pt idx="127">
                  <c:v>30370100</c:v>
                </c:pt>
                <c:pt idx="128">
                  <c:v>3828400</c:v>
                </c:pt>
                <c:pt idx="129">
                  <c:v>1885500</c:v>
                </c:pt>
                <c:pt idx="130">
                  <c:v>1883470</c:v>
                </c:pt>
                <c:pt idx="131">
                  <c:v>3245200</c:v>
                </c:pt>
                <c:pt idx="132">
                  <c:v>2886300</c:v>
                </c:pt>
                <c:pt idx="133">
                  <c:v>1062449.9999999991</c:v>
                </c:pt>
                <c:pt idx="134">
                  <c:v>3953700</c:v>
                </c:pt>
                <c:pt idx="135">
                  <c:v>686290</c:v>
                </c:pt>
                <c:pt idx="136">
                  <c:v>3493810</c:v>
                </c:pt>
                <c:pt idx="137">
                  <c:v>1405150</c:v>
                </c:pt>
                <c:pt idx="138">
                  <c:v>2580490.0000000009</c:v>
                </c:pt>
                <c:pt idx="139">
                  <c:v>584460</c:v>
                </c:pt>
                <c:pt idx="140">
                  <c:v>3824110</c:v>
                </c:pt>
                <c:pt idx="141">
                  <c:v>1053840</c:v>
                </c:pt>
                <c:pt idx="142">
                  <c:v>1191220</c:v>
                </c:pt>
                <c:pt idx="143">
                  <c:v>3142580</c:v>
                </c:pt>
                <c:pt idx="144">
                  <c:v>1476980.0000000005</c:v>
                </c:pt>
                <c:pt idx="145">
                  <c:v>1747610</c:v>
                </c:pt>
                <c:pt idx="146">
                  <c:v>1858589.9999999995</c:v>
                </c:pt>
                <c:pt idx="147">
                  <c:v>2562860</c:v>
                </c:pt>
                <c:pt idx="148">
                  <c:v>2551440</c:v>
                </c:pt>
                <c:pt idx="149">
                  <c:v>6818360</c:v>
                </c:pt>
                <c:pt idx="150">
                  <c:v>35996290</c:v>
                </c:pt>
                <c:pt idx="151">
                  <c:v>4595000</c:v>
                </c:pt>
                <c:pt idx="152">
                  <c:v>7923550.0000000019</c:v>
                </c:pt>
                <c:pt idx="153">
                  <c:v>1490930</c:v>
                </c:pt>
                <c:pt idx="154">
                  <c:v>4043470</c:v>
                </c:pt>
                <c:pt idx="155">
                  <c:v>1015440</c:v>
                </c:pt>
                <c:pt idx="156">
                  <c:v>6721940</c:v>
                </c:pt>
                <c:pt idx="157">
                  <c:v>5044340</c:v>
                </c:pt>
                <c:pt idx="158">
                  <c:v>6965900</c:v>
                </c:pt>
                <c:pt idx="159">
                  <c:v>13742620</c:v>
                </c:pt>
                <c:pt idx="160">
                  <c:v>3659980</c:v>
                </c:pt>
                <c:pt idx="161">
                  <c:v>4116200</c:v>
                </c:pt>
                <c:pt idx="162">
                  <c:v>1484399.9999999991</c:v>
                </c:pt>
                <c:pt idx="163">
                  <c:v>2908300</c:v>
                </c:pt>
                <c:pt idx="164">
                  <c:v>2519390</c:v>
                </c:pt>
                <c:pt idx="165">
                  <c:v>1345350</c:v>
                </c:pt>
                <c:pt idx="166">
                  <c:v>3826060.0000000009</c:v>
                </c:pt>
                <c:pt idx="167">
                  <c:v>3430180</c:v>
                </c:pt>
                <c:pt idx="168">
                  <c:v>3339990</c:v>
                </c:pt>
                <c:pt idx="169">
                  <c:v>1215450</c:v>
                </c:pt>
                <c:pt idx="170">
                  <c:v>3093930</c:v>
                </c:pt>
                <c:pt idx="171">
                  <c:v>4109470</c:v>
                </c:pt>
                <c:pt idx="172">
                  <c:v>815910</c:v>
                </c:pt>
                <c:pt idx="173">
                  <c:v>4034949.9999999995</c:v>
                </c:pt>
                <c:pt idx="174">
                  <c:v>409410</c:v>
                </c:pt>
                <c:pt idx="175">
                  <c:v>995070</c:v>
                </c:pt>
                <c:pt idx="176">
                  <c:v>69160</c:v>
                </c:pt>
                <c:pt idx="177">
                  <c:v>4968270</c:v>
                </c:pt>
                <c:pt idx="178">
                  <c:v>2162190</c:v>
                </c:pt>
                <c:pt idx="179">
                  <c:v>2885110</c:v>
                </c:pt>
                <c:pt idx="180">
                  <c:v>147402050</c:v>
                </c:pt>
                <c:pt idx="181">
                  <c:v>183606700</c:v>
                </c:pt>
                <c:pt idx="182">
                  <c:v>42775000.000000007</c:v>
                </c:pt>
                <c:pt idx="183">
                  <c:v>155704600</c:v>
                </c:pt>
                <c:pt idx="184">
                  <c:v>19634900</c:v>
                </c:pt>
                <c:pt idx="185">
                  <c:v>3311600</c:v>
                </c:pt>
                <c:pt idx="186">
                  <c:v>3052000</c:v>
                </c:pt>
                <c:pt idx="187">
                  <c:v>10758000</c:v>
                </c:pt>
                <c:pt idx="188">
                  <c:v>9597600</c:v>
                </c:pt>
                <c:pt idx="189">
                  <c:v>83078300</c:v>
                </c:pt>
                <c:pt idx="190">
                  <c:v>191297999.99999997</c:v>
                </c:pt>
                <c:pt idx="191">
                  <c:v>961400</c:v>
                </c:pt>
                <c:pt idx="192">
                  <c:v>8111400</c:v>
                </c:pt>
                <c:pt idx="193">
                  <c:v>12839700</c:v>
                </c:pt>
                <c:pt idx="194">
                  <c:v>15753600</c:v>
                </c:pt>
                <c:pt idx="195">
                  <c:v>15540500</c:v>
                </c:pt>
                <c:pt idx="196">
                  <c:v>14361000</c:v>
                </c:pt>
                <c:pt idx="197">
                  <c:v>13208600</c:v>
                </c:pt>
                <c:pt idx="198">
                  <c:v>11059300</c:v>
                </c:pt>
                <c:pt idx="199">
                  <c:v>8132200</c:v>
                </c:pt>
                <c:pt idx="200">
                  <c:v>8169200</c:v>
                </c:pt>
                <c:pt idx="201">
                  <c:v>8661800</c:v>
                </c:pt>
                <c:pt idx="202">
                  <c:v>7321999.9999999981</c:v>
                </c:pt>
                <c:pt idx="203">
                  <c:v>7201900</c:v>
                </c:pt>
                <c:pt idx="204">
                  <c:v>5095900.0000000009</c:v>
                </c:pt>
                <c:pt idx="205">
                  <c:v>2250500</c:v>
                </c:pt>
                <c:pt idx="206">
                  <c:v>1970500</c:v>
                </c:pt>
                <c:pt idx="207">
                  <c:v>2935320</c:v>
                </c:pt>
                <c:pt idx="208">
                  <c:v>3037920</c:v>
                </c:pt>
                <c:pt idx="209">
                  <c:v>2907230</c:v>
                </c:pt>
                <c:pt idx="210">
                  <c:v>1872340</c:v>
                </c:pt>
                <c:pt idx="211">
                  <c:v>1492220</c:v>
                </c:pt>
                <c:pt idx="212">
                  <c:v>1234310</c:v>
                </c:pt>
                <c:pt idx="213">
                  <c:v>1006820</c:v>
                </c:pt>
                <c:pt idx="214">
                  <c:v>843739.99999999953</c:v>
                </c:pt>
                <c:pt idx="215">
                  <c:v>534340.00000000047</c:v>
                </c:pt>
                <c:pt idx="216">
                  <c:v>371839.99999999953</c:v>
                </c:pt>
                <c:pt idx="217">
                  <c:v>133830</c:v>
                </c:pt>
                <c:pt idx="218">
                  <c:v>792490</c:v>
                </c:pt>
                <c:pt idx="219">
                  <c:v>1664540</c:v>
                </c:pt>
                <c:pt idx="220">
                  <c:v>11077790</c:v>
                </c:pt>
                <c:pt idx="221">
                  <c:v>12504330</c:v>
                </c:pt>
                <c:pt idx="222">
                  <c:v>824989.99999999907</c:v>
                </c:pt>
                <c:pt idx="223">
                  <c:v>1212530</c:v>
                </c:pt>
                <c:pt idx="224">
                  <c:v>1477090</c:v>
                </c:pt>
                <c:pt idx="225">
                  <c:v>1280680</c:v>
                </c:pt>
                <c:pt idx="226">
                  <c:v>1076760</c:v>
                </c:pt>
                <c:pt idx="227">
                  <c:v>579119.99999999907</c:v>
                </c:pt>
                <c:pt idx="228">
                  <c:v>3278350</c:v>
                </c:pt>
                <c:pt idx="229">
                  <c:v>1545900</c:v>
                </c:pt>
                <c:pt idx="230">
                  <c:v>173720</c:v>
                </c:pt>
                <c:pt idx="231">
                  <c:v>451560.00000000093</c:v>
                </c:pt>
                <c:pt idx="232">
                  <c:v>21110</c:v>
                </c:pt>
                <c:pt idx="233">
                  <c:v>5260.0000000004657</c:v>
                </c:pt>
                <c:pt idx="234">
                  <c:v>632640</c:v>
                </c:pt>
                <c:pt idx="235">
                  <c:v>875900.00000000047</c:v>
                </c:pt>
                <c:pt idx="236">
                  <c:v>2710510</c:v>
                </c:pt>
                <c:pt idx="237">
                  <c:v>1764820</c:v>
                </c:pt>
                <c:pt idx="238">
                  <c:v>2332140</c:v>
                </c:pt>
                <c:pt idx="239">
                  <c:v>1687100.0000000005</c:v>
                </c:pt>
                <c:pt idx="240">
                  <c:v>2134360</c:v>
                </c:pt>
                <c:pt idx="241">
                  <c:v>1417070</c:v>
                </c:pt>
                <c:pt idx="242">
                  <c:v>2151020</c:v>
                </c:pt>
                <c:pt idx="243">
                  <c:v>2291829.9999999995</c:v>
                </c:pt>
                <c:pt idx="244">
                  <c:v>1447539.9999999995</c:v>
                </c:pt>
                <c:pt idx="245">
                  <c:v>1268830</c:v>
                </c:pt>
                <c:pt idx="246">
                  <c:v>1302900</c:v>
                </c:pt>
                <c:pt idx="247">
                  <c:v>1339380</c:v>
                </c:pt>
                <c:pt idx="248">
                  <c:v>955099.99999999977</c:v>
                </c:pt>
                <c:pt idx="249">
                  <c:v>903690</c:v>
                </c:pt>
                <c:pt idx="250">
                  <c:v>1073160</c:v>
                </c:pt>
                <c:pt idx="251">
                  <c:v>1142170</c:v>
                </c:pt>
                <c:pt idx="252">
                  <c:v>1454070</c:v>
                </c:pt>
                <c:pt idx="253">
                  <c:v>1459340</c:v>
                </c:pt>
                <c:pt idx="254">
                  <c:v>1717790</c:v>
                </c:pt>
                <c:pt idx="255">
                  <c:v>1474800</c:v>
                </c:pt>
                <c:pt idx="256">
                  <c:v>1814370</c:v>
                </c:pt>
                <c:pt idx="257">
                  <c:v>482730</c:v>
                </c:pt>
                <c:pt idx="258">
                  <c:v>170400</c:v>
                </c:pt>
                <c:pt idx="259">
                  <c:v>321220</c:v>
                </c:pt>
                <c:pt idx="260">
                  <c:v>28650</c:v>
                </c:pt>
                <c:pt idx="261">
                  <c:v>131090</c:v>
                </c:pt>
                <c:pt idx="262">
                  <c:v>320250</c:v>
                </c:pt>
                <c:pt idx="263">
                  <c:v>734410</c:v>
                </c:pt>
                <c:pt idx="264">
                  <c:v>578830</c:v>
                </c:pt>
                <c:pt idx="265">
                  <c:v>108100</c:v>
                </c:pt>
                <c:pt idx="266">
                  <c:v>103200</c:v>
                </c:pt>
                <c:pt idx="267">
                  <c:v>329570</c:v>
                </c:pt>
                <c:pt idx="268">
                  <c:v>673490</c:v>
                </c:pt>
                <c:pt idx="269">
                  <c:v>798680</c:v>
                </c:pt>
                <c:pt idx="270">
                  <c:v>898340</c:v>
                </c:pt>
                <c:pt idx="271">
                  <c:v>1104950</c:v>
                </c:pt>
                <c:pt idx="272">
                  <c:v>1208310</c:v>
                </c:pt>
                <c:pt idx="273">
                  <c:v>1346120</c:v>
                </c:pt>
                <c:pt idx="274">
                  <c:v>1419310</c:v>
                </c:pt>
                <c:pt idx="275">
                  <c:v>1662176</c:v>
                </c:pt>
                <c:pt idx="276">
                  <c:v>1911416</c:v>
                </c:pt>
                <c:pt idx="277">
                  <c:v>2087144</c:v>
                </c:pt>
                <c:pt idx="278">
                  <c:v>2094641</c:v>
                </c:pt>
                <c:pt idx="279">
                  <c:v>2217838</c:v>
                </c:pt>
                <c:pt idx="280">
                  <c:v>2609127</c:v>
                </c:pt>
                <c:pt idx="281">
                  <c:v>1055069.9999999995</c:v>
                </c:pt>
                <c:pt idx="282">
                  <c:v>420370</c:v>
                </c:pt>
                <c:pt idx="283">
                  <c:v>555160</c:v>
                </c:pt>
                <c:pt idx="284">
                  <c:v>1033340</c:v>
                </c:pt>
                <c:pt idx="285">
                  <c:v>1222860</c:v>
                </c:pt>
                <c:pt idx="286">
                  <c:v>1383130</c:v>
                </c:pt>
                <c:pt idx="287">
                  <c:v>1530450</c:v>
                </c:pt>
                <c:pt idx="288">
                  <c:v>1646880</c:v>
                </c:pt>
                <c:pt idx="289">
                  <c:v>1718450</c:v>
                </c:pt>
                <c:pt idx="290">
                  <c:v>1880376</c:v>
                </c:pt>
                <c:pt idx="291">
                  <c:v>2054480</c:v>
                </c:pt>
                <c:pt idx="292">
                  <c:v>2356790</c:v>
                </c:pt>
                <c:pt idx="293">
                  <c:v>2205738</c:v>
                </c:pt>
                <c:pt idx="294">
                  <c:v>2200186</c:v>
                </c:pt>
                <c:pt idx="295">
                  <c:v>2282580</c:v>
                </c:pt>
                <c:pt idx="296">
                  <c:v>2490370</c:v>
                </c:pt>
                <c:pt idx="297">
                  <c:v>2427067</c:v>
                </c:pt>
                <c:pt idx="298">
                  <c:v>2351398</c:v>
                </c:pt>
                <c:pt idx="299">
                  <c:v>2485618</c:v>
                </c:pt>
                <c:pt idx="300">
                  <c:v>2432499</c:v>
                </c:pt>
                <c:pt idx="301">
                  <c:v>2554581</c:v>
                </c:pt>
                <c:pt idx="302">
                  <c:v>2456466</c:v>
                </c:pt>
                <c:pt idx="303">
                  <c:v>2581701</c:v>
                </c:pt>
                <c:pt idx="304">
                  <c:v>2634983</c:v>
                </c:pt>
                <c:pt idx="305">
                  <c:v>2732109</c:v>
                </c:pt>
                <c:pt idx="306">
                  <c:v>2739986</c:v>
                </c:pt>
                <c:pt idx="307">
                  <c:v>2769239</c:v>
                </c:pt>
                <c:pt idx="308">
                  <c:v>2794941</c:v>
                </c:pt>
                <c:pt idx="309">
                  <c:v>2849112</c:v>
                </c:pt>
                <c:pt idx="310">
                  <c:v>1489860</c:v>
                </c:pt>
                <c:pt idx="311">
                  <c:v>1463750</c:v>
                </c:pt>
                <c:pt idx="312">
                  <c:v>1668180</c:v>
                </c:pt>
                <c:pt idx="313">
                  <c:v>1858070</c:v>
                </c:pt>
                <c:pt idx="314">
                  <c:v>1476910</c:v>
                </c:pt>
                <c:pt idx="315">
                  <c:v>1699940</c:v>
                </c:pt>
                <c:pt idx="316">
                  <c:v>1881330</c:v>
                </c:pt>
                <c:pt idx="317">
                  <c:v>1920250</c:v>
                </c:pt>
                <c:pt idx="318">
                  <c:v>2235980</c:v>
                </c:pt>
                <c:pt idx="319">
                  <c:v>2312388</c:v>
                </c:pt>
                <c:pt idx="320">
                  <c:v>1375110</c:v>
                </c:pt>
                <c:pt idx="321">
                  <c:v>1204250.0000000007</c:v>
                </c:pt>
                <c:pt idx="322">
                  <c:v>1260420</c:v>
                </c:pt>
                <c:pt idx="323">
                  <c:v>1335640</c:v>
                </c:pt>
                <c:pt idx="324">
                  <c:v>1506020</c:v>
                </c:pt>
                <c:pt idx="325">
                  <c:v>1830840</c:v>
                </c:pt>
                <c:pt idx="326">
                  <c:v>2022990</c:v>
                </c:pt>
                <c:pt idx="327">
                  <c:v>2147830</c:v>
                </c:pt>
                <c:pt idx="328">
                  <c:v>2202290.0000000005</c:v>
                </c:pt>
                <c:pt idx="329">
                  <c:v>2278812</c:v>
                </c:pt>
                <c:pt idx="330">
                  <c:v>2390349</c:v>
                </c:pt>
                <c:pt idx="331">
                  <c:v>2394747</c:v>
                </c:pt>
                <c:pt idx="332">
                  <c:v>2382480</c:v>
                </c:pt>
                <c:pt idx="333">
                  <c:v>2439900</c:v>
                </c:pt>
                <c:pt idx="334">
                  <c:v>2494811</c:v>
                </c:pt>
                <c:pt idx="335">
                  <c:v>2515922</c:v>
                </c:pt>
                <c:pt idx="336">
                  <c:v>2661276</c:v>
                </c:pt>
                <c:pt idx="337">
                  <c:v>2783256</c:v>
                </c:pt>
                <c:pt idx="338">
                  <c:v>2836995</c:v>
                </c:pt>
                <c:pt idx="339">
                  <c:v>2853470</c:v>
                </c:pt>
                <c:pt idx="340">
                  <c:v>2872761</c:v>
                </c:pt>
                <c:pt idx="341">
                  <c:v>2939254</c:v>
                </c:pt>
                <c:pt idx="342">
                  <c:v>2963275</c:v>
                </c:pt>
                <c:pt idx="343">
                  <c:v>3006796</c:v>
                </c:pt>
                <c:pt idx="344">
                  <c:v>3113728</c:v>
                </c:pt>
                <c:pt idx="345">
                  <c:v>2239780</c:v>
                </c:pt>
                <c:pt idx="346">
                  <c:v>2067350</c:v>
                </c:pt>
                <c:pt idx="347">
                  <c:v>2223550</c:v>
                </c:pt>
                <c:pt idx="348">
                  <c:v>2110440</c:v>
                </c:pt>
                <c:pt idx="349">
                  <c:v>2155190</c:v>
                </c:pt>
                <c:pt idx="350">
                  <c:v>1984869.9999999995</c:v>
                </c:pt>
                <c:pt idx="351">
                  <c:v>2115970</c:v>
                </c:pt>
                <c:pt idx="352">
                  <c:v>2317550</c:v>
                </c:pt>
                <c:pt idx="353">
                  <c:v>2364792.9999999995</c:v>
                </c:pt>
                <c:pt idx="354">
                  <c:v>2425320.0000000005</c:v>
                </c:pt>
                <c:pt idx="355">
                  <c:v>2359235</c:v>
                </c:pt>
                <c:pt idx="356">
                  <c:v>2324094</c:v>
                </c:pt>
                <c:pt idx="357">
                  <c:v>2372328.9999999995</c:v>
                </c:pt>
                <c:pt idx="358">
                  <c:v>2495122</c:v>
                </c:pt>
                <c:pt idx="359">
                  <c:v>2516449</c:v>
                </c:pt>
                <c:pt idx="360">
                  <c:v>2575309</c:v>
                </c:pt>
                <c:pt idx="361">
                  <c:v>2621638</c:v>
                </c:pt>
                <c:pt idx="362">
                  <c:v>2692544</c:v>
                </c:pt>
                <c:pt idx="363">
                  <c:v>2855088</c:v>
                </c:pt>
                <c:pt idx="364">
                  <c:v>2872642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0-4150-82ED-5D0EDD47E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10784"/>
        <c:axId val="1495409824"/>
      </c:lineChart>
      <c:catAx>
        <c:axId val="149541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5409824"/>
        <c:crosses val="autoZero"/>
        <c:auto val="1"/>
        <c:lblAlgn val="ctr"/>
        <c:lblOffset val="100"/>
        <c:noMultiLvlLbl val="0"/>
      </c:catAx>
      <c:valAx>
        <c:axId val="14954098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541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Sheet1!$I$10</c:f>
              <c:strCache>
                <c:ptCount val="1"/>
                <c:pt idx="0">
                  <c:v>観測値（Arase2023）×10万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Sheet1!$I$11:$I$375</c:f>
              <c:numCache>
                <c:formatCode>#,##0_);[Red]\(#,##0\)</c:formatCode>
                <c:ptCount val="365"/>
                <c:pt idx="0">
                  <c:v>3202000.0000000005</c:v>
                </c:pt>
                <c:pt idx="1">
                  <c:v>3202000.0000000005</c:v>
                </c:pt>
                <c:pt idx="2">
                  <c:v>3202000.0000000005</c:v>
                </c:pt>
                <c:pt idx="3">
                  <c:v>3179000</c:v>
                </c:pt>
                <c:pt idx="4">
                  <c:v>3140000</c:v>
                </c:pt>
                <c:pt idx="5">
                  <c:v>3150000</c:v>
                </c:pt>
                <c:pt idx="6">
                  <c:v>3197000</c:v>
                </c:pt>
                <c:pt idx="7">
                  <c:v>3220000.0000000005</c:v>
                </c:pt>
                <c:pt idx="8">
                  <c:v>3294000</c:v>
                </c:pt>
                <c:pt idx="9">
                  <c:v>3268000</c:v>
                </c:pt>
                <c:pt idx="10">
                  <c:v>3261999.9999999995</c:v>
                </c:pt>
                <c:pt idx="11">
                  <c:v>3174000</c:v>
                </c:pt>
                <c:pt idx="12">
                  <c:v>3206000</c:v>
                </c:pt>
                <c:pt idx="13">
                  <c:v>6259000</c:v>
                </c:pt>
                <c:pt idx="14">
                  <c:v>4065000</c:v>
                </c:pt>
                <c:pt idx="15">
                  <c:v>3838000.0000000005</c:v>
                </c:pt>
                <c:pt idx="16">
                  <c:v>3254999.9999999995</c:v>
                </c:pt>
                <c:pt idx="17">
                  <c:v>3281000</c:v>
                </c:pt>
                <c:pt idx="18">
                  <c:v>3297000</c:v>
                </c:pt>
                <c:pt idx="19">
                  <c:v>3232000</c:v>
                </c:pt>
                <c:pt idx="20">
                  <c:v>3177000</c:v>
                </c:pt>
                <c:pt idx="21">
                  <c:v>3231000</c:v>
                </c:pt>
                <c:pt idx="22">
                  <c:v>3722999.9999999995</c:v>
                </c:pt>
                <c:pt idx="23">
                  <c:v>3328000</c:v>
                </c:pt>
                <c:pt idx="24">
                  <c:v>3145000</c:v>
                </c:pt>
                <c:pt idx="25">
                  <c:v>3091000</c:v>
                </c:pt>
                <c:pt idx="26">
                  <c:v>3166000</c:v>
                </c:pt>
                <c:pt idx="27">
                  <c:v>3194000</c:v>
                </c:pt>
                <c:pt idx="28">
                  <c:v>3143000</c:v>
                </c:pt>
                <c:pt idx="29">
                  <c:v>3236000</c:v>
                </c:pt>
                <c:pt idx="30">
                  <c:v>3202000.0000000005</c:v>
                </c:pt>
                <c:pt idx="31">
                  <c:v>3226000</c:v>
                </c:pt>
                <c:pt idx="32">
                  <c:v>3292000</c:v>
                </c:pt>
                <c:pt idx="33">
                  <c:v>3329000</c:v>
                </c:pt>
                <c:pt idx="34">
                  <c:v>3310000</c:v>
                </c:pt>
                <c:pt idx="35">
                  <c:v>3272999.9999999995</c:v>
                </c:pt>
                <c:pt idx="36">
                  <c:v>3265000</c:v>
                </c:pt>
                <c:pt idx="37">
                  <c:v>4043000</c:v>
                </c:pt>
                <c:pt idx="38">
                  <c:v>3976000</c:v>
                </c:pt>
                <c:pt idx="39">
                  <c:v>3690999.9999999995</c:v>
                </c:pt>
                <c:pt idx="40">
                  <c:v>4058000</c:v>
                </c:pt>
                <c:pt idx="41">
                  <c:v>3565999.9999999995</c:v>
                </c:pt>
                <c:pt idx="42">
                  <c:v>3479000</c:v>
                </c:pt>
                <c:pt idx="43">
                  <c:v>5681000</c:v>
                </c:pt>
                <c:pt idx="44">
                  <c:v>4726000</c:v>
                </c:pt>
                <c:pt idx="45">
                  <c:v>4459000</c:v>
                </c:pt>
                <c:pt idx="46">
                  <c:v>3979000</c:v>
                </c:pt>
                <c:pt idx="47">
                  <c:v>3646000</c:v>
                </c:pt>
                <c:pt idx="48">
                  <c:v>3804999.9999999995</c:v>
                </c:pt>
                <c:pt idx="49">
                  <c:v>6423999.9999999991</c:v>
                </c:pt>
                <c:pt idx="50">
                  <c:v>6439000</c:v>
                </c:pt>
                <c:pt idx="51">
                  <c:v>5171000</c:v>
                </c:pt>
                <c:pt idx="52">
                  <c:v>4679000</c:v>
                </c:pt>
                <c:pt idx="53">
                  <c:v>4614000</c:v>
                </c:pt>
                <c:pt idx="54">
                  <c:v>4317000</c:v>
                </c:pt>
                <c:pt idx="55">
                  <c:v>4065999.9999999995</c:v>
                </c:pt>
                <c:pt idx="56">
                  <c:v>3686000</c:v>
                </c:pt>
                <c:pt idx="57">
                  <c:v>3540000</c:v>
                </c:pt>
                <c:pt idx="58">
                  <c:v>3396000</c:v>
                </c:pt>
                <c:pt idx="59">
                  <c:v>3632000</c:v>
                </c:pt>
                <c:pt idx="60">
                  <c:v>3854000</c:v>
                </c:pt>
                <c:pt idx="61">
                  <c:v>3315999.9999999995</c:v>
                </c:pt>
                <c:pt idx="62">
                  <c:v>3236000</c:v>
                </c:pt>
                <c:pt idx="63">
                  <c:v>3150000</c:v>
                </c:pt>
                <c:pt idx="64">
                  <c:v>3153000</c:v>
                </c:pt>
                <c:pt idx="65">
                  <c:v>3202000.0000000005</c:v>
                </c:pt>
                <c:pt idx="66">
                  <c:v>3265000</c:v>
                </c:pt>
                <c:pt idx="67">
                  <c:v>3265000</c:v>
                </c:pt>
                <c:pt idx="68">
                  <c:v>3168000</c:v>
                </c:pt>
                <c:pt idx="69">
                  <c:v>3265000</c:v>
                </c:pt>
                <c:pt idx="70">
                  <c:v>3422999.9999999995</c:v>
                </c:pt>
                <c:pt idx="71">
                  <c:v>3717000</c:v>
                </c:pt>
                <c:pt idx="72">
                  <c:v>3304999.9999999995</c:v>
                </c:pt>
                <c:pt idx="73">
                  <c:v>3260000</c:v>
                </c:pt>
                <c:pt idx="74">
                  <c:v>3329000</c:v>
                </c:pt>
                <c:pt idx="75">
                  <c:v>3395000.0000000005</c:v>
                </c:pt>
                <c:pt idx="76">
                  <c:v>4178000</c:v>
                </c:pt>
                <c:pt idx="77">
                  <c:v>3189000</c:v>
                </c:pt>
                <c:pt idx="78">
                  <c:v>3221000</c:v>
                </c:pt>
                <c:pt idx="79">
                  <c:v>5248000</c:v>
                </c:pt>
                <c:pt idx="80">
                  <c:v>6909000</c:v>
                </c:pt>
                <c:pt idx="81">
                  <c:v>5237000</c:v>
                </c:pt>
                <c:pt idx="82">
                  <c:v>4641000</c:v>
                </c:pt>
                <c:pt idx="83">
                  <c:v>5099000</c:v>
                </c:pt>
                <c:pt idx="84">
                  <c:v>7318000.0000000009</c:v>
                </c:pt>
                <c:pt idx="85">
                  <c:v>6313000</c:v>
                </c:pt>
                <c:pt idx="86">
                  <c:v>5113000</c:v>
                </c:pt>
                <c:pt idx="87">
                  <c:v>4481000</c:v>
                </c:pt>
                <c:pt idx="88">
                  <c:v>4094000</c:v>
                </c:pt>
                <c:pt idx="89">
                  <c:v>3804000</c:v>
                </c:pt>
                <c:pt idx="90">
                  <c:v>3575000</c:v>
                </c:pt>
                <c:pt idx="91">
                  <c:v>3364000</c:v>
                </c:pt>
                <c:pt idx="92">
                  <c:v>3276000</c:v>
                </c:pt>
                <c:pt idx="93">
                  <c:v>3511000</c:v>
                </c:pt>
                <c:pt idx="94">
                  <c:v>3368000</c:v>
                </c:pt>
                <c:pt idx="95">
                  <c:v>3304999.9999999995</c:v>
                </c:pt>
                <c:pt idx="96">
                  <c:v>6359000</c:v>
                </c:pt>
                <c:pt idx="97">
                  <c:v>5334000</c:v>
                </c:pt>
                <c:pt idx="98">
                  <c:v>4472000</c:v>
                </c:pt>
                <c:pt idx="99">
                  <c:v>4104999.9999999995</c:v>
                </c:pt>
                <c:pt idx="100">
                  <c:v>4009000.0000000005</c:v>
                </c:pt>
                <c:pt idx="101">
                  <c:v>4537000</c:v>
                </c:pt>
                <c:pt idx="102">
                  <c:v>4057000</c:v>
                </c:pt>
                <c:pt idx="103">
                  <c:v>4231000</c:v>
                </c:pt>
                <c:pt idx="104">
                  <c:v>9961000</c:v>
                </c:pt>
                <c:pt idx="105">
                  <c:v>9661000</c:v>
                </c:pt>
                <c:pt idx="106">
                  <c:v>7512000</c:v>
                </c:pt>
                <c:pt idx="107">
                  <c:v>6409000</c:v>
                </c:pt>
                <c:pt idx="108">
                  <c:v>5963000</c:v>
                </c:pt>
                <c:pt idx="109">
                  <c:v>5593000</c:v>
                </c:pt>
                <c:pt idx="110">
                  <c:v>5457000</c:v>
                </c:pt>
                <c:pt idx="111">
                  <c:v>4965000</c:v>
                </c:pt>
                <c:pt idx="112">
                  <c:v>4816000</c:v>
                </c:pt>
                <c:pt idx="113">
                  <c:v>4906000</c:v>
                </c:pt>
                <c:pt idx="114">
                  <c:v>5010000</c:v>
                </c:pt>
                <c:pt idx="115">
                  <c:v>8441000</c:v>
                </c:pt>
                <c:pt idx="116">
                  <c:v>5530000</c:v>
                </c:pt>
                <c:pt idx="117">
                  <c:v>5168000</c:v>
                </c:pt>
                <c:pt idx="118">
                  <c:v>7923999.9999999991</c:v>
                </c:pt>
                <c:pt idx="119">
                  <c:v>12804000</c:v>
                </c:pt>
                <c:pt idx="120">
                  <c:v>8550000</c:v>
                </c:pt>
                <c:pt idx="121">
                  <c:v>7137000</c:v>
                </c:pt>
                <c:pt idx="122">
                  <c:v>6383000</c:v>
                </c:pt>
                <c:pt idx="123">
                  <c:v>6143000</c:v>
                </c:pt>
                <c:pt idx="124">
                  <c:v>6065000</c:v>
                </c:pt>
                <c:pt idx="125">
                  <c:v>10274000</c:v>
                </c:pt>
                <c:pt idx="126">
                  <c:v>85510000</c:v>
                </c:pt>
                <c:pt idx="127">
                  <c:v>46401000</c:v>
                </c:pt>
                <c:pt idx="128">
                  <c:v>18157000</c:v>
                </c:pt>
                <c:pt idx="129">
                  <c:v>11068000</c:v>
                </c:pt>
                <c:pt idx="130">
                  <c:v>9177000</c:v>
                </c:pt>
                <c:pt idx="131">
                  <c:v>7847000</c:v>
                </c:pt>
                <c:pt idx="132">
                  <c:v>7294000</c:v>
                </c:pt>
                <c:pt idx="133">
                  <c:v>7384999.9999999991</c:v>
                </c:pt>
                <c:pt idx="134">
                  <c:v>6216000</c:v>
                </c:pt>
                <c:pt idx="135">
                  <c:v>5601000</c:v>
                </c:pt>
                <c:pt idx="136">
                  <c:v>5538000</c:v>
                </c:pt>
                <c:pt idx="137">
                  <c:v>5354000</c:v>
                </c:pt>
                <c:pt idx="138">
                  <c:v>5690000</c:v>
                </c:pt>
                <c:pt idx="139">
                  <c:v>5336000</c:v>
                </c:pt>
                <c:pt idx="140">
                  <c:v>4787000</c:v>
                </c:pt>
                <c:pt idx="141">
                  <c:v>4690000</c:v>
                </c:pt>
                <c:pt idx="142">
                  <c:v>4430000</c:v>
                </c:pt>
                <c:pt idx="143">
                  <c:v>4289000</c:v>
                </c:pt>
                <c:pt idx="144">
                  <c:v>4088000.0000000005</c:v>
                </c:pt>
                <c:pt idx="145">
                  <c:v>4104000</c:v>
                </c:pt>
                <c:pt idx="146">
                  <c:v>3986999.9999999995</c:v>
                </c:pt>
                <c:pt idx="147">
                  <c:v>3903000</c:v>
                </c:pt>
                <c:pt idx="148">
                  <c:v>4290000</c:v>
                </c:pt>
                <c:pt idx="149">
                  <c:v>8428000</c:v>
                </c:pt>
                <c:pt idx="150">
                  <c:v>40557000</c:v>
                </c:pt>
                <c:pt idx="151">
                  <c:v>15529000</c:v>
                </c:pt>
                <c:pt idx="152">
                  <c:v>13930000.000000002</c:v>
                </c:pt>
                <c:pt idx="153">
                  <c:v>11355000</c:v>
                </c:pt>
                <c:pt idx="154">
                  <c:v>8625000</c:v>
                </c:pt>
                <c:pt idx="155">
                  <c:v>7452000</c:v>
                </c:pt>
                <c:pt idx="156">
                  <c:v>10241000</c:v>
                </c:pt>
                <c:pt idx="157">
                  <c:v>10019000</c:v>
                </c:pt>
                <c:pt idx="158">
                  <c:v>15838000</c:v>
                </c:pt>
                <c:pt idx="159">
                  <c:v>19483000</c:v>
                </c:pt>
                <c:pt idx="160">
                  <c:v>13128000</c:v>
                </c:pt>
                <c:pt idx="161">
                  <c:v>8496000</c:v>
                </c:pt>
                <c:pt idx="162">
                  <c:v>6854000.0000000009</c:v>
                </c:pt>
                <c:pt idx="163">
                  <c:v>6331000</c:v>
                </c:pt>
                <c:pt idx="164">
                  <c:v>5590000</c:v>
                </c:pt>
                <c:pt idx="165">
                  <c:v>5940000</c:v>
                </c:pt>
                <c:pt idx="166">
                  <c:v>6540000.0000000009</c:v>
                </c:pt>
                <c:pt idx="167">
                  <c:v>5841000</c:v>
                </c:pt>
                <c:pt idx="168">
                  <c:v>5507000</c:v>
                </c:pt>
                <c:pt idx="169">
                  <c:v>5275000</c:v>
                </c:pt>
                <c:pt idx="170">
                  <c:v>4857000</c:v>
                </c:pt>
                <c:pt idx="171">
                  <c:v>5701000</c:v>
                </c:pt>
                <c:pt idx="172">
                  <c:v>4305000</c:v>
                </c:pt>
                <c:pt idx="173">
                  <c:v>3413000.0000000005</c:v>
                </c:pt>
                <c:pt idx="174">
                  <c:v>2992000</c:v>
                </c:pt>
                <c:pt idx="175">
                  <c:v>3242000</c:v>
                </c:pt>
                <c:pt idx="176">
                  <c:v>4657000</c:v>
                </c:pt>
                <c:pt idx="177">
                  <c:v>3731000</c:v>
                </c:pt>
                <c:pt idx="178">
                  <c:v>7416000</c:v>
                </c:pt>
                <c:pt idx="179">
                  <c:v>12323000</c:v>
                </c:pt>
                <c:pt idx="180">
                  <c:v>153606000</c:v>
                </c:pt>
                <c:pt idx="181">
                  <c:v>203833000</c:v>
                </c:pt>
                <c:pt idx="182">
                  <c:v>62645000.000000007</c:v>
                </c:pt>
                <c:pt idx="183">
                  <c:v>175595000</c:v>
                </c:pt>
                <c:pt idx="184">
                  <c:v>52526000</c:v>
                </c:pt>
                <c:pt idx="185">
                  <c:v>32436000</c:v>
                </c:pt>
                <c:pt idx="186">
                  <c:v>24293000</c:v>
                </c:pt>
                <c:pt idx="187">
                  <c:v>35478000</c:v>
                </c:pt>
                <c:pt idx="188">
                  <c:v>34504000</c:v>
                </c:pt>
                <c:pt idx="189">
                  <c:v>106474000</c:v>
                </c:pt>
                <c:pt idx="190">
                  <c:v>219298999.99999997</c:v>
                </c:pt>
                <c:pt idx="191">
                  <c:v>56912000</c:v>
                </c:pt>
                <c:pt idx="192">
                  <c:v>33198000</c:v>
                </c:pt>
                <c:pt idx="193">
                  <c:v>24002000</c:v>
                </c:pt>
                <c:pt idx="194">
                  <c:v>18917000</c:v>
                </c:pt>
                <c:pt idx="195">
                  <c:v>15288000</c:v>
                </c:pt>
                <c:pt idx="196">
                  <c:v>13265000</c:v>
                </c:pt>
                <c:pt idx="197">
                  <c:v>11468000</c:v>
                </c:pt>
                <c:pt idx="198">
                  <c:v>11015000</c:v>
                </c:pt>
                <c:pt idx="199">
                  <c:v>11863000</c:v>
                </c:pt>
                <c:pt idx="200">
                  <c:v>11313000</c:v>
                </c:pt>
                <c:pt idx="201">
                  <c:v>9241000</c:v>
                </c:pt>
                <c:pt idx="202">
                  <c:v>8767000</c:v>
                </c:pt>
                <c:pt idx="203">
                  <c:v>7298000</c:v>
                </c:pt>
                <c:pt idx="204">
                  <c:v>7995999.9999999991</c:v>
                </c:pt>
                <c:pt idx="205">
                  <c:v>9617000</c:v>
                </c:pt>
                <c:pt idx="206">
                  <c:v>8764000</c:v>
                </c:pt>
                <c:pt idx="207">
                  <c:v>6805000</c:v>
                </c:pt>
                <c:pt idx="208">
                  <c:v>5774000</c:v>
                </c:pt>
                <c:pt idx="209">
                  <c:v>5059000</c:v>
                </c:pt>
                <c:pt idx="210">
                  <c:v>5331000</c:v>
                </c:pt>
                <c:pt idx="211">
                  <c:v>5023000</c:v>
                </c:pt>
                <c:pt idx="212">
                  <c:v>4660000</c:v>
                </c:pt>
                <c:pt idx="213">
                  <c:v>4324000</c:v>
                </c:pt>
                <c:pt idx="214">
                  <c:v>3977000.0000000005</c:v>
                </c:pt>
                <c:pt idx="215">
                  <c:v>3897999.9999999995</c:v>
                </c:pt>
                <c:pt idx="216">
                  <c:v>3646000</c:v>
                </c:pt>
                <c:pt idx="217">
                  <c:v>3494000</c:v>
                </c:pt>
                <c:pt idx="218">
                  <c:v>4068000</c:v>
                </c:pt>
                <c:pt idx="219">
                  <c:v>4625000</c:v>
                </c:pt>
                <c:pt idx="220">
                  <c:v>13938000</c:v>
                </c:pt>
                <c:pt idx="221">
                  <c:v>18157000</c:v>
                </c:pt>
                <c:pt idx="222">
                  <c:v>6451000.0000000009</c:v>
                </c:pt>
                <c:pt idx="223">
                  <c:v>5578000</c:v>
                </c:pt>
                <c:pt idx="224">
                  <c:v>4465000</c:v>
                </c:pt>
                <c:pt idx="225">
                  <c:v>3935000</c:v>
                </c:pt>
                <c:pt idx="226">
                  <c:v>3560000</c:v>
                </c:pt>
                <c:pt idx="227">
                  <c:v>3577000.0000000005</c:v>
                </c:pt>
                <c:pt idx="228">
                  <c:v>7019000</c:v>
                </c:pt>
                <c:pt idx="229">
                  <c:v>6238000</c:v>
                </c:pt>
                <c:pt idx="230">
                  <c:v>4733000</c:v>
                </c:pt>
                <c:pt idx="231">
                  <c:v>3586999.9999999995</c:v>
                </c:pt>
                <c:pt idx="232">
                  <c:v>3625000</c:v>
                </c:pt>
                <c:pt idx="233">
                  <c:v>3313000.0000000005</c:v>
                </c:pt>
                <c:pt idx="234">
                  <c:v>3621000</c:v>
                </c:pt>
                <c:pt idx="235">
                  <c:v>3570000.0000000005</c:v>
                </c:pt>
                <c:pt idx="236">
                  <c:v>5142000</c:v>
                </c:pt>
                <c:pt idx="237">
                  <c:v>3961000</c:v>
                </c:pt>
                <c:pt idx="238">
                  <c:v>4316000</c:v>
                </c:pt>
                <c:pt idx="239">
                  <c:v>4027000.0000000005</c:v>
                </c:pt>
                <c:pt idx="240">
                  <c:v>4338000</c:v>
                </c:pt>
                <c:pt idx="241">
                  <c:v>3379000</c:v>
                </c:pt>
                <c:pt idx="242">
                  <c:v>4056000</c:v>
                </c:pt>
                <c:pt idx="243">
                  <c:v>4029999.9999999995</c:v>
                </c:pt>
                <c:pt idx="244">
                  <c:v>3486999.9999999995</c:v>
                </c:pt>
                <c:pt idx="245">
                  <c:v>3184000</c:v>
                </c:pt>
                <c:pt idx="246">
                  <c:v>3010000</c:v>
                </c:pt>
                <c:pt idx="247">
                  <c:v>2867000</c:v>
                </c:pt>
                <c:pt idx="248">
                  <c:v>2988000</c:v>
                </c:pt>
                <c:pt idx="249">
                  <c:v>2895000</c:v>
                </c:pt>
                <c:pt idx="250">
                  <c:v>2840000</c:v>
                </c:pt>
                <c:pt idx="251">
                  <c:v>2716000</c:v>
                </c:pt>
                <c:pt idx="252">
                  <c:v>2863000</c:v>
                </c:pt>
                <c:pt idx="253">
                  <c:v>3091000</c:v>
                </c:pt>
                <c:pt idx="254">
                  <c:v>3243000</c:v>
                </c:pt>
                <c:pt idx="255">
                  <c:v>2835000</c:v>
                </c:pt>
                <c:pt idx="256">
                  <c:v>3072000</c:v>
                </c:pt>
                <c:pt idx="257">
                  <c:v>2903000</c:v>
                </c:pt>
                <c:pt idx="258">
                  <c:v>2701000</c:v>
                </c:pt>
                <c:pt idx="259">
                  <c:v>2535000</c:v>
                </c:pt>
                <c:pt idx="260">
                  <c:v>2496000</c:v>
                </c:pt>
                <c:pt idx="261">
                  <c:v>2533000</c:v>
                </c:pt>
                <c:pt idx="262">
                  <c:v>2547000</c:v>
                </c:pt>
                <c:pt idx="263">
                  <c:v>2738000</c:v>
                </c:pt>
                <c:pt idx="264">
                  <c:v>2743000</c:v>
                </c:pt>
                <c:pt idx="265">
                  <c:v>2773000</c:v>
                </c:pt>
                <c:pt idx="266">
                  <c:v>2615000</c:v>
                </c:pt>
                <c:pt idx="267">
                  <c:v>2555000</c:v>
                </c:pt>
                <c:pt idx="268">
                  <c:v>2662000</c:v>
                </c:pt>
                <c:pt idx="269">
                  <c:v>2584000</c:v>
                </c:pt>
                <c:pt idx="270">
                  <c:v>2505000</c:v>
                </c:pt>
                <c:pt idx="271">
                  <c:v>2554000</c:v>
                </c:pt>
                <c:pt idx="272">
                  <c:v>2514000</c:v>
                </c:pt>
                <c:pt idx="273">
                  <c:v>2523000</c:v>
                </c:pt>
                <c:pt idx="274">
                  <c:v>2482000</c:v>
                </c:pt>
                <c:pt idx="275">
                  <c:v>2621000</c:v>
                </c:pt>
                <c:pt idx="276">
                  <c:v>2778000</c:v>
                </c:pt>
                <c:pt idx="277">
                  <c:v>2870000</c:v>
                </c:pt>
                <c:pt idx="278">
                  <c:v>2801000</c:v>
                </c:pt>
                <c:pt idx="279">
                  <c:v>2855000</c:v>
                </c:pt>
                <c:pt idx="280">
                  <c:v>3185000</c:v>
                </c:pt>
                <c:pt idx="281">
                  <c:v>3222999.9999999995</c:v>
                </c:pt>
                <c:pt idx="282">
                  <c:v>2927000</c:v>
                </c:pt>
                <c:pt idx="283">
                  <c:v>2766000</c:v>
                </c:pt>
                <c:pt idx="284">
                  <c:v>2954000</c:v>
                </c:pt>
                <c:pt idx="285">
                  <c:v>2919000</c:v>
                </c:pt>
                <c:pt idx="286">
                  <c:v>2896000</c:v>
                </c:pt>
                <c:pt idx="287">
                  <c:v>2889000</c:v>
                </c:pt>
                <c:pt idx="288">
                  <c:v>2869000</c:v>
                </c:pt>
                <c:pt idx="289">
                  <c:v>2818000</c:v>
                </c:pt>
                <c:pt idx="290">
                  <c:v>2870000</c:v>
                </c:pt>
                <c:pt idx="291">
                  <c:v>2945000</c:v>
                </c:pt>
                <c:pt idx="292">
                  <c:v>3158000</c:v>
                </c:pt>
                <c:pt idx="293">
                  <c:v>3002000</c:v>
                </c:pt>
                <c:pt idx="294">
                  <c:v>2929000</c:v>
                </c:pt>
                <c:pt idx="295">
                  <c:v>2935000</c:v>
                </c:pt>
                <c:pt idx="296">
                  <c:v>3075000</c:v>
                </c:pt>
                <c:pt idx="297">
                  <c:v>2952000</c:v>
                </c:pt>
                <c:pt idx="298">
                  <c:v>2822000</c:v>
                </c:pt>
                <c:pt idx="299">
                  <c:v>2907000</c:v>
                </c:pt>
                <c:pt idx="300">
                  <c:v>2957000</c:v>
                </c:pt>
                <c:pt idx="301">
                  <c:v>3048000</c:v>
                </c:pt>
                <c:pt idx="302">
                  <c:v>2894000</c:v>
                </c:pt>
                <c:pt idx="303">
                  <c:v>2971000</c:v>
                </c:pt>
                <c:pt idx="304">
                  <c:v>2982000</c:v>
                </c:pt>
                <c:pt idx="305">
                  <c:v>3042000</c:v>
                </c:pt>
                <c:pt idx="306">
                  <c:v>3017000</c:v>
                </c:pt>
                <c:pt idx="307">
                  <c:v>3017000</c:v>
                </c:pt>
                <c:pt idx="308">
                  <c:v>3017000</c:v>
                </c:pt>
                <c:pt idx="309">
                  <c:v>3048000</c:v>
                </c:pt>
                <c:pt idx="310">
                  <c:v>2950000</c:v>
                </c:pt>
                <c:pt idx="311">
                  <c:v>3055000</c:v>
                </c:pt>
                <c:pt idx="312">
                  <c:v>3020000</c:v>
                </c:pt>
                <c:pt idx="313">
                  <c:v>3037000</c:v>
                </c:pt>
                <c:pt idx="314">
                  <c:v>3035000</c:v>
                </c:pt>
                <c:pt idx="315">
                  <c:v>3181000</c:v>
                </c:pt>
                <c:pt idx="316">
                  <c:v>3192000</c:v>
                </c:pt>
                <c:pt idx="317">
                  <c:v>3091000</c:v>
                </c:pt>
                <c:pt idx="318">
                  <c:v>3286000</c:v>
                </c:pt>
                <c:pt idx="319">
                  <c:v>3257000</c:v>
                </c:pt>
                <c:pt idx="320">
                  <c:v>3289000</c:v>
                </c:pt>
                <c:pt idx="321">
                  <c:v>3263000.0000000005</c:v>
                </c:pt>
                <c:pt idx="322">
                  <c:v>3218000</c:v>
                </c:pt>
                <c:pt idx="323">
                  <c:v>3089000</c:v>
                </c:pt>
                <c:pt idx="324">
                  <c:v>3065000</c:v>
                </c:pt>
                <c:pt idx="325">
                  <c:v>3226000</c:v>
                </c:pt>
                <c:pt idx="326">
                  <c:v>3276000</c:v>
                </c:pt>
                <c:pt idx="327">
                  <c:v>3276000</c:v>
                </c:pt>
                <c:pt idx="328">
                  <c:v>3220000.0000000005</c:v>
                </c:pt>
                <c:pt idx="329">
                  <c:v>3197000</c:v>
                </c:pt>
                <c:pt idx="330">
                  <c:v>3218000</c:v>
                </c:pt>
                <c:pt idx="331">
                  <c:v>3324000</c:v>
                </c:pt>
                <c:pt idx="332">
                  <c:v>3249000</c:v>
                </c:pt>
                <c:pt idx="333">
                  <c:v>3215000</c:v>
                </c:pt>
                <c:pt idx="334">
                  <c:v>3192000</c:v>
                </c:pt>
                <c:pt idx="335">
                  <c:v>3145000</c:v>
                </c:pt>
                <c:pt idx="336">
                  <c:v>3228000</c:v>
                </c:pt>
                <c:pt idx="337">
                  <c:v>3294000</c:v>
                </c:pt>
                <c:pt idx="338">
                  <c:v>3297000</c:v>
                </c:pt>
                <c:pt idx="339">
                  <c:v>3268000</c:v>
                </c:pt>
                <c:pt idx="340">
                  <c:v>3247000</c:v>
                </c:pt>
                <c:pt idx="341">
                  <c:v>3276000</c:v>
                </c:pt>
                <c:pt idx="342">
                  <c:v>3265000</c:v>
                </c:pt>
                <c:pt idx="343">
                  <c:v>3278000</c:v>
                </c:pt>
                <c:pt idx="344">
                  <c:v>3357000</c:v>
                </c:pt>
                <c:pt idx="345">
                  <c:v>3374000</c:v>
                </c:pt>
                <c:pt idx="346">
                  <c:v>3276000</c:v>
                </c:pt>
                <c:pt idx="347">
                  <c:v>3260000</c:v>
                </c:pt>
                <c:pt idx="348">
                  <c:v>3276000</c:v>
                </c:pt>
                <c:pt idx="349">
                  <c:v>3308000</c:v>
                </c:pt>
                <c:pt idx="350">
                  <c:v>3204999.9999999995</c:v>
                </c:pt>
                <c:pt idx="351">
                  <c:v>3236000</c:v>
                </c:pt>
                <c:pt idx="352">
                  <c:v>3318000</c:v>
                </c:pt>
                <c:pt idx="353">
                  <c:v>3336999.9999999995</c:v>
                </c:pt>
                <c:pt idx="354">
                  <c:v>3313000.0000000005</c:v>
                </c:pt>
                <c:pt idx="355">
                  <c:v>3231000</c:v>
                </c:pt>
                <c:pt idx="356">
                  <c:v>3231000</c:v>
                </c:pt>
                <c:pt idx="357">
                  <c:v>3204999.9999999995</c:v>
                </c:pt>
                <c:pt idx="358">
                  <c:v>3242000</c:v>
                </c:pt>
                <c:pt idx="359">
                  <c:v>3189000</c:v>
                </c:pt>
                <c:pt idx="360">
                  <c:v>3182000</c:v>
                </c:pt>
                <c:pt idx="361">
                  <c:v>3168000</c:v>
                </c:pt>
                <c:pt idx="362">
                  <c:v>3184000</c:v>
                </c:pt>
                <c:pt idx="363">
                  <c:v>3297000</c:v>
                </c:pt>
                <c:pt idx="364">
                  <c:v>3271000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F-437A-B6C3-4CCA527A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862576"/>
        <c:axId val="1367860176"/>
      </c:lineChart>
      <c:catAx>
        <c:axId val="136786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7860176"/>
        <c:crosses val="autoZero"/>
        <c:auto val="1"/>
        <c:lblAlgn val="ctr"/>
        <c:lblOffset val="100"/>
        <c:noMultiLvlLbl val="0"/>
      </c:catAx>
      <c:valAx>
        <c:axId val="13678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786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観測値　ヒストグラム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観測値　ヒストグラム</a:t>
          </a:r>
        </a:p>
      </cx:txPr>
    </cx:title>
    <cx:plotArea>
      <cx:plotAreaRegion>
        <cx:series layoutId="clusteredColumn" uniqueId="{F573A3C2-3DA2-4025-8077-F5AE1D805F6C}"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F1515633-4FFC-43C6-95A5-4597DD7F82E6}"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571940EB-6503-494E-A7A0-1A80AD8251A3}">
          <cx:tx>
            <cx:txData>
              <cx:f>_xlchart.v1.1</cx:f>
              <cx:v>Log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96416821-7080-48B6-A53B-8C517122E336}">
          <cx:tx>
            <cx:txData>
              <cx:f>_xlchart.v1.5</cx:f>
              <cx:v>Log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3D796E7B-596E-407E-AB9C-23EB5AF7B73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1682766</xdr:colOff>
      <xdr:row>1</xdr:row>
      <xdr:rowOff>65785</xdr:rowOff>
    </xdr:from>
    <xdr:to>
      <xdr:col>36</xdr:col>
      <xdr:colOff>3122026</xdr:colOff>
      <xdr:row>26</xdr:row>
      <xdr:rowOff>43205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0A79C8C-69C7-4A26-963A-D63B3AA35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646138</xdr:colOff>
      <xdr:row>27</xdr:row>
      <xdr:rowOff>60704</xdr:rowOff>
    </xdr:from>
    <xdr:to>
      <xdr:col>36</xdr:col>
      <xdr:colOff>1737887</xdr:colOff>
      <xdr:row>47</xdr:row>
      <xdr:rowOff>21925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5E5C5B4-4199-457B-9B0A-2FDAF02BA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594699</xdr:colOff>
      <xdr:row>26</xdr:row>
      <xdr:rowOff>182672</xdr:rowOff>
    </xdr:from>
    <xdr:to>
      <xdr:col>39</xdr:col>
      <xdr:colOff>917909</xdr:colOff>
      <xdr:row>46</xdr:row>
      <xdr:rowOff>14617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93210C9F-5843-46A2-B7CC-18508E183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65943</xdr:colOff>
      <xdr:row>378</xdr:row>
      <xdr:rowOff>161193</xdr:rowOff>
    </xdr:from>
    <xdr:to>
      <xdr:col>11</xdr:col>
      <xdr:colOff>1384789</xdr:colOff>
      <xdr:row>390</xdr:row>
      <xdr:rowOff>2932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68F4A16D-6BB9-4D56-9DE3-27C9B0935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885265</xdr:colOff>
      <xdr:row>0</xdr:row>
      <xdr:rowOff>0</xdr:rowOff>
    </xdr:from>
    <xdr:to>
      <xdr:col>8</xdr:col>
      <xdr:colOff>1535206</xdr:colOff>
      <xdr:row>8</xdr:row>
      <xdr:rowOff>219637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6882F6D-61C3-41A3-8119-FF4B9D627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35000" y="0"/>
          <a:ext cx="2588559" cy="21022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142876</xdr:colOff>
      <xdr:row>3</xdr:row>
      <xdr:rowOff>76200</xdr:rowOff>
    </xdr:from>
    <xdr:to>
      <xdr:col>2</xdr:col>
      <xdr:colOff>3971925</xdr:colOff>
      <xdr:row>14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88380986-735B-45FB-8354-562CFC0E17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5126" y="790575"/>
              <a:ext cx="3829049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</xdr:col>
      <xdr:colOff>133350</xdr:colOff>
      <xdr:row>16</xdr:row>
      <xdr:rowOff>180975</xdr:rowOff>
    </xdr:from>
    <xdr:to>
      <xdr:col>2</xdr:col>
      <xdr:colOff>4029075</xdr:colOff>
      <xdr:row>26</xdr:row>
      <xdr:rowOff>209550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26F80D83-4632-4041-AD7E-DD664A35AC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5600" y="3990975"/>
              <a:ext cx="3895725" cy="2409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10</xdr:col>
      <xdr:colOff>314325</xdr:colOff>
      <xdr:row>5</xdr:row>
      <xdr:rowOff>95250</xdr:rowOff>
    </xdr:from>
    <xdr:to>
      <xdr:col>17</xdr:col>
      <xdr:colOff>85725</xdr:colOff>
      <xdr:row>16</xdr:row>
      <xdr:rowOff>219075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EA08CCD6-A11B-4F90-93FE-8AC7815126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20200" y="1285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4</xdr:col>
      <xdr:colOff>133350</xdr:colOff>
      <xdr:row>15</xdr:row>
      <xdr:rowOff>219075</xdr:rowOff>
    </xdr:from>
    <xdr:to>
      <xdr:col>6</xdr:col>
      <xdr:colOff>1371600</xdr:colOff>
      <xdr:row>27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C7D54ACE-30F6-453C-8607-DD46A95054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4800" y="3790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4</xdr:col>
      <xdr:colOff>228600</xdr:colOff>
      <xdr:row>3</xdr:row>
      <xdr:rowOff>47625</xdr:rowOff>
    </xdr:from>
    <xdr:to>
      <xdr:col>6</xdr:col>
      <xdr:colOff>1466850</xdr:colOff>
      <xdr:row>14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グラフ 9">
              <a:extLst>
                <a:ext uri="{FF2B5EF4-FFF2-40B4-BE49-F238E27FC236}">
                  <a16:creationId xmlns:a16="http://schemas.microsoft.com/office/drawing/2014/main" id="{08A48046-C90D-4B31-8946-0F41571C37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0050" y="762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4B55-9F7F-47C5-A54A-8DD80AC64565}">
  <dimension ref="A1:AP383"/>
  <sheetViews>
    <sheetView tabSelected="1" zoomScaleNormal="100" workbookViewId="0">
      <selection activeCell="E14" sqref="E14"/>
    </sheetView>
  </sheetViews>
  <sheetFormatPr defaultRowHeight="18.75" x14ac:dyDescent="0.4"/>
  <cols>
    <col min="1" max="1" width="10.875" bestFit="1" customWidth="1"/>
    <col min="2" max="2" width="25.25" customWidth="1"/>
    <col min="3" max="3" width="25.375" bestFit="1" customWidth="1"/>
    <col min="4" max="8" width="25.375" customWidth="1"/>
    <col min="9" max="9" width="27.25" bestFit="1" customWidth="1"/>
    <col min="10" max="11" width="21.375" bestFit="1" customWidth="1"/>
    <col min="12" max="12" width="30.75" bestFit="1" customWidth="1"/>
    <col min="13" max="16" width="31.625" customWidth="1"/>
    <col min="17" max="18" width="23.875" bestFit="1" customWidth="1"/>
    <col min="19" max="19" width="33.25" bestFit="1" customWidth="1"/>
    <col min="20" max="20" width="34.875" bestFit="1" customWidth="1"/>
    <col min="21" max="21" width="35.875" bestFit="1" customWidth="1"/>
    <col min="22" max="22" width="30.875" customWidth="1"/>
    <col min="23" max="23" width="35.875" bestFit="1" customWidth="1"/>
    <col min="24" max="24" width="24.125" customWidth="1"/>
    <col min="25" max="25" width="23.5" customWidth="1"/>
    <col min="37" max="37" width="57.625" customWidth="1"/>
    <col min="40" max="40" width="57.5" customWidth="1"/>
  </cols>
  <sheetData>
    <row r="1" spans="1:42" x14ac:dyDescent="0.4">
      <c r="C1" s="1" t="s">
        <v>2</v>
      </c>
      <c r="D1" s="1" t="s">
        <v>3</v>
      </c>
      <c r="E1" s="1" t="s">
        <v>4</v>
      </c>
      <c r="F1" s="13" t="s">
        <v>48</v>
      </c>
      <c r="G1" s="4"/>
      <c r="H1" s="4"/>
    </row>
    <row r="2" spans="1:42" x14ac:dyDescent="0.4">
      <c r="B2" s="1" t="s">
        <v>14</v>
      </c>
      <c r="C2" s="14">
        <f>CORREL($B$11:$B$375,I11:I375)</f>
        <v>0.49012967698306298</v>
      </c>
      <c r="D2" s="5">
        <f>AVERAGE(J11:J375)</f>
        <v>8834485.2876712326</v>
      </c>
      <c r="E2" s="5">
        <f>SQRT(SUM(Q11:Q375))</f>
        <v>23903975.339930318</v>
      </c>
      <c r="F2" s="6"/>
      <c r="G2" s="6"/>
      <c r="H2" s="6"/>
    </row>
    <row r="3" spans="1:42" x14ac:dyDescent="0.4">
      <c r="B3" s="1" t="s">
        <v>15</v>
      </c>
      <c r="C3" s="14">
        <f>CORREL($C$11:$C$375,I11:I375)</f>
        <v>0.60324472281347885</v>
      </c>
      <c r="D3" s="5">
        <f>AVERAGE(K11:K375)</f>
        <v>11148195.339172602</v>
      </c>
      <c r="E3" s="5">
        <f>SQRT(SUM(R11:R375))</f>
        <v>29974838.537564494</v>
      </c>
      <c r="F3" s="6"/>
      <c r="G3" s="6"/>
      <c r="H3" s="6"/>
    </row>
    <row r="4" spans="1:42" x14ac:dyDescent="0.4">
      <c r="B4" s="1" t="s">
        <v>25</v>
      </c>
      <c r="C4" s="14">
        <f>CORREL(D11:D375,I11:I375)</f>
        <v>0.4895946538824979</v>
      </c>
      <c r="D4" s="7">
        <f>AVERAGE(L11:L375)</f>
        <v>8311573.3698630137</v>
      </c>
      <c r="E4" s="5">
        <f>SQRT(SUM(S11:S375))</f>
        <v>23865983.343242873</v>
      </c>
      <c r="F4" s="6"/>
      <c r="G4" s="6"/>
      <c r="H4" s="6"/>
    </row>
    <row r="5" spans="1:42" x14ac:dyDescent="0.4">
      <c r="B5" s="1" t="s">
        <v>26</v>
      </c>
      <c r="C5" s="14">
        <f>CORREL(E11:E375,I11:I375)</f>
        <v>0.50197705537950221</v>
      </c>
      <c r="D5" s="7">
        <f>AVERAGE(M11:M375)</f>
        <v>8883361.3271232881</v>
      </c>
      <c r="E5" s="5">
        <f>SQRT(SUM(T11:T375))</f>
        <v>23647704.15653605</v>
      </c>
      <c r="G5" s="6" t="s">
        <v>19</v>
      </c>
      <c r="H5" s="6"/>
    </row>
    <row r="6" spans="1:42" x14ac:dyDescent="0.4">
      <c r="B6" s="1" t="s">
        <v>27</v>
      </c>
      <c r="C6" s="14">
        <f>CORREL(F11:F375,I11:I375)</f>
        <v>0.54448092446460938</v>
      </c>
      <c r="D6" s="7">
        <f>AVERAGE(N11:N375)</f>
        <v>4825216.9534246577</v>
      </c>
      <c r="E6" s="5">
        <f>SQRT(SUM(U11:U375))</f>
        <v>18892621.347208042</v>
      </c>
      <c r="G6" s="6" t="s">
        <v>30</v>
      </c>
      <c r="H6" s="6"/>
    </row>
    <row r="7" spans="1:42" x14ac:dyDescent="0.4">
      <c r="B7" s="1" t="s">
        <v>37</v>
      </c>
      <c r="C7" s="14">
        <f>CORREL(G11:G375,I11:I375)</f>
        <v>0.48963201840806198</v>
      </c>
      <c r="D7" s="7">
        <f>AVERAGE(O11:O375)</f>
        <v>5157438.1369863013</v>
      </c>
      <c r="E7" s="5">
        <f>SQRT(SUM(V11:V375))</f>
        <v>19430218.185210746</v>
      </c>
      <c r="G7" s="6" t="s">
        <v>38</v>
      </c>
      <c r="H7" s="6"/>
    </row>
    <row r="8" spans="1:42" x14ac:dyDescent="0.4">
      <c r="B8" s="1" t="s">
        <v>45</v>
      </c>
      <c r="C8" s="14">
        <f>CORREL(H21:H375,I21:I375)</f>
        <v>0.62829876432213017</v>
      </c>
      <c r="D8" s="7">
        <f>AVERAGE(P11:P375)</f>
        <v>4165724.0883338144</v>
      </c>
      <c r="E8" s="5">
        <f>SQRT(SUM(W11:W375))</f>
        <v>19287396.139356315</v>
      </c>
      <c r="F8" s="8">
        <f>1-SUM(X11:X375)/SUM(Y11:Y375)</f>
        <v>0.19030847431467379</v>
      </c>
      <c r="G8" s="6"/>
      <c r="H8" s="6"/>
    </row>
    <row r="10" spans="1:42" ht="20.25" x14ac:dyDescent="0.4">
      <c r="A10" t="s">
        <v>0</v>
      </c>
      <c r="B10" t="s">
        <v>7</v>
      </c>
      <c r="C10" t="s">
        <v>8</v>
      </c>
      <c r="D10" t="s">
        <v>16</v>
      </c>
      <c r="E10" t="s">
        <v>22</v>
      </c>
      <c r="F10" t="s">
        <v>21</v>
      </c>
      <c r="G10" t="s">
        <v>34</v>
      </c>
      <c r="H10" s="12" t="s">
        <v>44</v>
      </c>
      <c r="I10" t="s">
        <v>1</v>
      </c>
      <c r="J10" t="s">
        <v>9</v>
      </c>
      <c r="K10" t="s">
        <v>10</v>
      </c>
      <c r="L10" t="s">
        <v>11</v>
      </c>
      <c r="M10" t="s">
        <v>23</v>
      </c>
      <c r="N10" t="s">
        <v>28</v>
      </c>
      <c r="O10" t="s">
        <v>35</v>
      </c>
      <c r="P10" t="s">
        <v>46</v>
      </c>
      <c r="Q10" t="s">
        <v>12</v>
      </c>
      <c r="R10" t="s">
        <v>13</v>
      </c>
      <c r="S10" t="s">
        <v>17</v>
      </c>
      <c r="T10" t="s">
        <v>24</v>
      </c>
      <c r="U10" t="s">
        <v>29</v>
      </c>
      <c r="V10" t="s">
        <v>36</v>
      </c>
      <c r="W10" t="s">
        <v>47</v>
      </c>
      <c r="X10" t="s">
        <v>49</v>
      </c>
      <c r="Y10" t="s">
        <v>50</v>
      </c>
      <c r="AK10" t="s">
        <v>20</v>
      </c>
      <c r="AL10" t="s">
        <v>33</v>
      </c>
      <c r="AM10" t="s">
        <v>32</v>
      </c>
      <c r="AN10" t="s">
        <v>31</v>
      </c>
      <c r="AO10" t="s">
        <v>33</v>
      </c>
      <c r="AP10" t="s">
        <v>32</v>
      </c>
    </row>
    <row r="11" spans="1:42" x14ac:dyDescent="0.4">
      <c r="A11">
        <v>0</v>
      </c>
      <c r="B11" s="2">
        <v>0</v>
      </c>
      <c r="C11" s="2">
        <v>0</v>
      </c>
      <c r="D11" s="2">
        <f>IF(B11&lt;2500000,2500000,B11)</f>
        <v>2500000</v>
      </c>
      <c r="E11" s="2">
        <v>1</v>
      </c>
      <c r="F11" s="2">
        <v>1</v>
      </c>
      <c r="G11" s="2">
        <v>1</v>
      </c>
      <c r="H11" s="2">
        <v>24388973.318342239</v>
      </c>
      <c r="I11" s="2">
        <f>32.02*(100000)</f>
        <v>3202000.0000000005</v>
      </c>
      <c r="J11" s="2">
        <f>ABS(I11-B11)</f>
        <v>3202000.0000000005</v>
      </c>
      <c r="K11" s="2">
        <f>ABS(I11-C11)</f>
        <v>3202000.0000000005</v>
      </c>
      <c r="L11" s="2">
        <f>ABS(I11-D11)</f>
        <v>702000.00000000047</v>
      </c>
      <c r="M11" s="2">
        <f>ABS($I11-E11)</f>
        <v>3201999.0000000005</v>
      </c>
      <c r="N11" s="2">
        <f>ABS($I11-F11)</f>
        <v>3201999.0000000005</v>
      </c>
      <c r="O11" s="2">
        <f>ABS($I11-G11)</f>
        <v>3201999.0000000005</v>
      </c>
      <c r="P11" s="2">
        <f>ABS(I11-H11)</f>
        <v>21186973.318342239</v>
      </c>
      <c r="Q11" s="3">
        <f>J11^2/COUNT($A$11:$A$375)</f>
        <v>28089873972.602749</v>
      </c>
      <c r="R11" s="3">
        <f>K11^2/COUNT($A$11:$A$375)</f>
        <v>28089873972.602749</v>
      </c>
      <c r="S11" s="3">
        <f>L11^2/COUNT($A$11:$A$375)</f>
        <v>1350147945.2054813</v>
      </c>
      <c r="T11" s="3">
        <f>M11^2/COUNT($A$11:$A$375)</f>
        <v>28089856427.400009</v>
      </c>
      <c r="U11" s="3">
        <f>N11^2/COUNT($A$11:$A$375)</f>
        <v>28089856427.400009</v>
      </c>
      <c r="V11" s="3">
        <f>O11^2/COUNT($A$11:$A$375)</f>
        <v>28089856427.400009</v>
      </c>
      <c r="W11" s="3">
        <f>P11^2/COUNT($A$11:$A$375)</f>
        <v>1229829694225.0574</v>
      </c>
      <c r="X11" s="3">
        <f>P11^2</f>
        <v>448887838392145.94</v>
      </c>
      <c r="Y11" s="3">
        <f>(I11-AVERAGE($I$11:$I$375))^2</f>
        <v>25766415719039.219</v>
      </c>
      <c r="AK11">
        <v>1</v>
      </c>
      <c r="AM11">
        <f>IF(AL11="",AK11,AK11*AL11)</f>
        <v>1</v>
      </c>
      <c r="AN11">
        <v>1</v>
      </c>
      <c r="AP11">
        <f>IF(AO11="",AN11,AN11*AO11)</f>
        <v>1</v>
      </c>
    </row>
    <row r="12" spans="1:42" x14ac:dyDescent="0.4">
      <c r="A12">
        <v>1</v>
      </c>
      <c r="B12" s="2">
        <v>0</v>
      </c>
      <c r="C12" s="2">
        <v>0</v>
      </c>
      <c r="D12" s="2">
        <f>IF(B12&lt;2500000,2500000,B12)</f>
        <v>2500000</v>
      </c>
      <c r="E12" s="2">
        <v>1</v>
      </c>
      <c r="F12" s="2">
        <v>1</v>
      </c>
      <c r="G12" s="2">
        <v>1</v>
      </c>
      <c r="H12" s="2">
        <v>7677980.6692766044</v>
      </c>
      <c r="I12" s="2">
        <f>32.02*(100000)</f>
        <v>3202000.0000000005</v>
      </c>
      <c r="J12" s="2">
        <f t="shared" ref="J12:J75" si="0">ABS(I12-B12)</f>
        <v>3202000.0000000005</v>
      </c>
      <c r="K12" s="2">
        <f t="shared" ref="K12:K75" si="1">ABS(I12-C12)</f>
        <v>3202000.0000000005</v>
      </c>
      <c r="L12" s="2">
        <f t="shared" ref="L12:L75" si="2">ABS(I12-D12)</f>
        <v>702000.00000000047</v>
      </c>
      <c r="M12" s="2">
        <f t="shared" ref="M12:M75" si="3">ABS($I12-E12)</f>
        <v>3201999.0000000005</v>
      </c>
      <c r="N12" s="2">
        <f t="shared" ref="N12:N75" si="4">ABS($I12-F12)</f>
        <v>3201999.0000000005</v>
      </c>
      <c r="O12" s="2">
        <f t="shared" ref="O12:O75" si="5">ABS($I12-G12)</f>
        <v>3201999.0000000005</v>
      </c>
      <c r="P12" s="2">
        <f t="shared" ref="P12:P75" si="6">ABS(I12-H12)</f>
        <v>4475980.6692766044</v>
      </c>
      <c r="Q12" s="3">
        <f t="shared" ref="Q12:Q75" si="7">J12^2/COUNT($A$11:$A$375)</f>
        <v>28089873972.602749</v>
      </c>
      <c r="R12" s="3">
        <f t="shared" ref="R12:R75" si="8">K12^2/COUNT($A$11:$A$375)</f>
        <v>28089873972.602749</v>
      </c>
      <c r="S12" s="3">
        <f t="shared" ref="S12:S75" si="9">L12^2/COUNT($A$11:$A$375)</f>
        <v>1350147945.2054813</v>
      </c>
      <c r="T12" s="3">
        <f t="shared" ref="T12:T75" si="10">M12^2/COUNT($A$11:$A$375)</f>
        <v>28089856427.400009</v>
      </c>
      <c r="U12" s="3">
        <f t="shared" ref="U12:U75" si="11">N12^2/COUNT($A$11:$A$375)</f>
        <v>28089856427.400009</v>
      </c>
      <c r="V12" s="3">
        <f t="shared" ref="V12:V75" si="12">O12^2/COUNT($A$11:$A$375)</f>
        <v>28089856427.400009</v>
      </c>
      <c r="W12" s="3">
        <f t="shared" ref="W12:W75" si="13">P12^2/COUNT($A$11:$A$375)</f>
        <v>54888775210.240654</v>
      </c>
      <c r="X12" s="3">
        <f t="shared" ref="X12:X75" si="14">P12^2</f>
        <v>20034402951737.84</v>
      </c>
      <c r="Y12" s="3">
        <f t="shared" ref="Y12:Y75" si="15">(I12-AVERAGE($I$11:$I$375))^2</f>
        <v>25766415719039.219</v>
      </c>
      <c r="AK12">
        <v>1</v>
      </c>
      <c r="AM12">
        <f t="shared" ref="AM12:AM75" si="16">IF(AL12="",AK12,AK12*AL12)</f>
        <v>1</v>
      </c>
      <c r="AN12">
        <v>1</v>
      </c>
      <c r="AP12">
        <f t="shared" ref="AP12:AP75" si="17">IF(AO12="",AN12,AN12*AO12)</f>
        <v>1</v>
      </c>
    </row>
    <row r="13" spans="1:42" x14ac:dyDescent="0.4">
      <c r="A13">
        <v>2</v>
      </c>
      <c r="B13" s="2">
        <v>0</v>
      </c>
      <c r="C13" s="2">
        <v>0</v>
      </c>
      <c r="D13" s="2">
        <f>IF(B13&lt;2500000,2500000,B13)</f>
        <v>2500000</v>
      </c>
      <c r="E13" s="2">
        <v>1</v>
      </c>
      <c r="F13" s="2">
        <v>1</v>
      </c>
      <c r="G13" s="2">
        <v>1</v>
      </c>
      <c r="H13" s="2">
        <v>3917265.6033833032</v>
      </c>
      <c r="I13" s="2">
        <f>32.02*(100000)</f>
        <v>3202000.0000000005</v>
      </c>
      <c r="J13" s="2">
        <f t="shared" si="0"/>
        <v>3202000.0000000005</v>
      </c>
      <c r="K13" s="2">
        <f t="shared" si="1"/>
        <v>3202000.0000000005</v>
      </c>
      <c r="L13" s="2">
        <f t="shared" si="2"/>
        <v>702000.00000000047</v>
      </c>
      <c r="M13" s="2">
        <f t="shared" si="3"/>
        <v>3201999.0000000005</v>
      </c>
      <c r="N13" s="2">
        <f t="shared" si="4"/>
        <v>3201999.0000000005</v>
      </c>
      <c r="O13" s="2">
        <f t="shared" si="5"/>
        <v>3201999.0000000005</v>
      </c>
      <c r="P13" s="2">
        <f t="shared" si="6"/>
        <v>715265.60338330269</v>
      </c>
      <c r="Q13" s="3">
        <f t="shared" si="7"/>
        <v>28089873972.602749</v>
      </c>
      <c r="R13" s="3">
        <f t="shared" si="8"/>
        <v>28089873972.602749</v>
      </c>
      <c r="S13" s="3">
        <f t="shared" si="9"/>
        <v>1350147945.2054813</v>
      </c>
      <c r="T13" s="3">
        <f t="shared" si="10"/>
        <v>28089856427.400009</v>
      </c>
      <c r="U13" s="3">
        <f t="shared" si="11"/>
        <v>28089856427.400009</v>
      </c>
      <c r="V13" s="3">
        <f t="shared" si="12"/>
        <v>28089856427.400009</v>
      </c>
      <c r="W13" s="3">
        <f t="shared" si="13"/>
        <v>1401657214.7487125</v>
      </c>
      <c r="X13" s="3">
        <f t="shared" si="14"/>
        <v>511604883383.28009</v>
      </c>
      <c r="Y13" s="3">
        <f t="shared" si="15"/>
        <v>25766415719039.219</v>
      </c>
      <c r="AK13">
        <v>1</v>
      </c>
      <c r="AM13">
        <f t="shared" si="16"/>
        <v>1</v>
      </c>
      <c r="AN13">
        <v>1</v>
      </c>
      <c r="AP13">
        <f t="shared" si="17"/>
        <v>1</v>
      </c>
    </row>
    <row r="14" spans="1:42" x14ac:dyDescent="0.4">
      <c r="A14">
        <v>3</v>
      </c>
      <c r="B14" s="2">
        <v>0</v>
      </c>
      <c r="C14" s="2">
        <v>0</v>
      </c>
      <c r="D14" s="2">
        <f>IF(B14&lt;2500000,2500000,B14)</f>
        <v>2500000</v>
      </c>
      <c r="E14" s="2">
        <v>1</v>
      </c>
      <c r="F14" s="2">
        <v>1</v>
      </c>
      <c r="G14" s="2">
        <v>1</v>
      </c>
      <c r="H14" s="2">
        <v>3407419.901905444</v>
      </c>
      <c r="I14" s="2">
        <f>31.79*(100000)</f>
        <v>3179000</v>
      </c>
      <c r="J14" s="2">
        <f t="shared" si="0"/>
        <v>3179000</v>
      </c>
      <c r="K14" s="2">
        <f t="shared" si="1"/>
        <v>3179000</v>
      </c>
      <c r="L14" s="2">
        <f t="shared" si="2"/>
        <v>679000</v>
      </c>
      <c r="M14" s="2">
        <f t="shared" si="3"/>
        <v>3178999</v>
      </c>
      <c r="N14" s="2">
        <f t="shared" si="4"/>
        <v>3178999</v>
      </c>
      <c r="O14" s="2">
        <f t="shared" si="5"/>
        <v>3178999</v>
      </c>
      <c r="P14" s="2">
        <f t="shared" si="6"/>
        <v>228419.90190544399</v>
      </c>
      <c r="Q14" s="3">
        <f t="shared" si="7"/>
        <v>27687783561.643837</v>
      </c>
      <c r="R14" s="3">
        <f t="shared" si="8"/>
        <v>27687783561.643837</v>
      </c>
      <c r="S14" s="3">
        <f t="shared" si="9"/>
        <v>1263126027.3972602</v>
      </c>
      <c r="T14" s="3">
        <f t="shared" si="10"/>
        <v>27687766142.468494</v>
      </c>
      <c r="U14" s="3">
        <f t="shared" si="11"/>
        <v>27687766142.468494</v>
      </c>
      <c r="V14" s="3">
        <f t="shared" si="12"/>
        <v>27687766142.468494</v>
      </c>
      <c r="W14" s="3">
        <f t="shared" si="13"/>
        <v>142946990.64792508</v>
      </c>
      <c r="X14" s="3">
        <f t="shared" si="14"/>
        <v>52175651586.492653</v>
      </c>
      <c r="Y14" s="3">
        <f t="shared" si="15"/>
        <v>26000443617669.355</v>
      </c>
      <c r="AK14">
        <v>1</v>
      </c>
      <c r="AM14">
        <f t="shared" si="16"/>
        <v>1</v>
      </c>
      <c r="AN14">
        <v>1</v>
      </c>
      <c r="AP14">
        <f t="shared" si="17"/>
        <v>1</v>
      </c>
    </row>
    <row r="15" spans="1:42" x14ac:dyDescent="0.4">
      <c r="A15">
        <v>4</v>
      </c>
      <c r="B15" s="2">
        <v>0</v>
      </c>
      <c r="C15" s="2">
        <v>0</v>
      </c>
      <c r="D15" s="2">
        <f>IF(B15&lt;2500000,2500000,B15)</f>
        <v>2500000</v>
      </c>
      <c r="E15" s="2">
        <v>1</v>
      </c>
      <c r="F15" s="2">
        <v>1</v>
      </c>
      <c r="G15" s="2">
        <v>1</v>
      </c>
      <c r="H15" s="2">
        <v>3120936.8961777822</v>
      </c>
      <c r="I15" s="2">
        <f>31.4*(100000)</f>
        <v>3140000</v>
      </c>
      <c r="J15" s="2">
        <f t="shared" si="0"/>
        <v>3140000</v>
      </c>
      <c r="K15" s="2">
        <f t="shared" si="1"/>
        <v>3140000</v>
      </c>
      <c r="L15" s="2">
        <f t="shared" si="2"/>
        <v>640000</v>
      </c>
      <c r="M15" s="2">
        <f t="shared" si="3"/>
        <v>3139999</v>
      </c>
      <c r="N15" s="2">
        <f t="shared" si="4"/>
        <v>3139999</v>
      </c>
      <c r="O15" s="2">
        <f t="shared" si="5"/>
        <v>3139999</v>
      </c>
      <c r="P15" s="2">
        <f t="shared" si="6"/>
        <v>19063.103822217789</v>
      </c>
      <c r="Q15" s="3">
        <f t="shared" si="7"/>
        <v>27012602739.726028</v>
      </c>
      <c r="R15" s="3">
        <f t="shared" si="8"/>
        <v>27012602739.726028</v>
      </c>
      <c r="S15" s="3">
        <f t="shared" si="9"/>
        <v>1122191780.8219178</v>
      </c>
      <c r="T15" s="3">
        <f t="shared" si="10"/>
        <v>27012585534.249313</v>
      </c>
      <c r="U15" s="3">
        <f t="shared" si="11"/>
        <v>27012585534.249313</v>
      </c>
      <c r="V15" s="3">
        <f t="shared" si="12"/>
        <v>27012585534.249313</v>
      </c>
      <c r="W15" s="3">
        <f t="shared" si="13"/>
        <v>995621.71873056027</v>
      </c>
      <c r="X15" s="3">
        <f t="shared" si="14"/>
        <v>363401927.33665448</v>
      </c>
      <c r="Y15" s="3">
        <f t="shared" si="15"/>
        <v>26399691532737.848</v>
      </c>
      <c r="AK15">
        <v>1</v>
      </c>
      <c r="AM15">
        <f t="shared" si="16"/>
        <v>1</v>
      </c>
      <c r="AN15">
        <v>1</v>
      </c>
      <c r="AP15">
        <f t="shared" si="17"/>
        <v>1</v>
      </c>
    </row>
    <row r="16" spans="1:42" x14ac:dyDescent="0.4">
      <c r="A16">
        <v>5</v>
      </c>
      <c r="B16" s="2">
        <v>0</v>
      </c>
      <c r="C16" s="2">
        <v>0</v>
      </c>
      <c r="D16" s="2">
        <f>IF(B16&lt;2500000,2500000,B16)</f>
        <v>2500000</v>
      </c>
      <c r="E16" s="2">
        <v>1</v>
      </c>
      <c r="F16" s="2">
        <v>1</v>
      </c>
      <c r="G16" s="2">
        <v>1</v>
      </c>
      <c r="H16" s="2">
        <v>2920135.534546352</v>
      </c>
      <c r="I16" s="2">
        <f>31.5*(100000)</f>
        <v>3150000</v>
      </c>
      <c r="J16" s="2">
        <f t="shared" si="0"/>
        <v>3150000</v>
      </c>
      <c r="K16" s="2">
        <f t="shared" si="1"/>
        <v>3150000</v>
      </c>
      <c r="L16" s="2">
        <f t="shared" si="2"/>
        <v>650000</v>
      </c>
      <c r="M16" s="2">
        <f t="shared" si="3"/>
        <v>3149999</v>
      </c>
      <c r="N16" s="2">
        <f t="shared" si="4"/>
        <v>3149999</v>
      </c>
      <c r="O16" s="2">
        <f t="shared" si="5"/>
        <v>3149999</v>
      </c>
      <c r="P16" s="2">
        <f t="shared" si="6"/>
        <v>229864.46545364801</v>
      </c>
      <c r="Q16" s="3">
        <f t="shared" si="7"/>
        <v>27184931506.849316</v>
      </c>
      <c r="R16" s="3">
        <f t="shared" si="8"/>
        <v>27184931506.849316</v>
      </c>
      <c r="S16" s="3">
        <f t="shared" si="9"/>
        <v>1157534246.5753424</v>
      </c>
      <c r="T16" s="3">
        <f t="shared" si="10"/>
        <v>27184914246.578083</v>
      </c>
      <c r="U16" s="3">
        <f t="shared" si="11"/>
        <v>27184914246.578083</v>
      </c>
      <c r="V16" s="3">
        <f t="shared" si="12"/>
        <v>27184914246.578083</v>
      </c>
      <c r="W16" s="3">
        <f t="shared" si="13"/>
        <v>144760746.51586667</v>
      </c>
      <c r="X16" s="3">
        <f t="shared" si="14"/>
        <v>52837672478.291336</v>
      </c>
      <c r="Y16" s="3">
        <f t="shared" si="15"/>
        <v>26297030272463.875</v>
      </c>
      <c r="AK16">
        <v>1</v>
      </c>
      <c r="AM16">
        <f t="shared" si="16"/>
        <v>1</v>
      </c>
      <c r="AN16">
        <v>1</v>
      </c>
      <c r="AP16">
        <f t="shared" si="17"/>
        <v>1</v>
      </c>
    </row>
    <row r="17" spans="1:42" x14ac:dyDescent="0.4">
      <c r="A17">
        <v>6</v>
      </c>
      <c r="B17" s="2">
        <v>0</v>
      </c>
      <c r="C17" s="2">
        <v>0</v>
      </c>
      <c r="D17" s="2">
        <f>IF(B17&lt;2500000,2500000,B17)</f>
        <v>2500000</v>
      </c>
      <c r="E17" s="2">
        <v>1</v>
      </c>
      <c r="F17" s="2">
        <v>1</v>
      </c>
      <c r="G17" s="2">
        <v>1</v>
      </c>
      <c r="H17" s="2">
        <v>2782528.7559419419</v>
      </c>
      <c r="I17" s="2">
        <f>31.97*(100000)</f>
        <v>3197000</v>
      </c>
      <c r="J17" s="2">
        <f t="shared" si="0"/>
        <v>3197000</v>
      </c>
      <c r="K17" s="2">
        <f t="shared" si="1"/>
        <v>3197000</v>
      </c>
      <c r="L17" s="2">
        <f t="shared" si="2"/>
        <v>697000</v>
      </c>
      <c r="M17" s="2">
        <f t="shared" si="3"/>
        <v>3196999</v>
      </c>
      <c r="N17" s="2">
        <f t="shared" si="4"/>
        <v>3196999</v>
      </c>
      <c r="O17" s="2">
        <f t="shared" si="5"/>
        <v>3196999</v>
      </c>
      <c r="P17" s="2">
        <f t="shared" si="6"/>
        <v>414471.24405805813</v>
      </c>
      <c r="Q17" s="3">
        <f t="shared" si="7"/>
        <v>28002216438.356163</v>
      </c>
      <c r="R17" s="3">
        <f t="shared" si="8"/>
        <v>28002216438.356163</v>
      </c>
      <c r="S17" s="3">
        <f t="shared" si="9"/>
        <v>1330983561.6438355</v>
      </c>
      <c r="T17" s="3">
        <f t="shared" si="10"/>
        <v>28002198920.550686</v>
      </c>
      <c r="U17" s="3">
        <f t="shared" si="11"/>
        <v>28002198920.550686</v>
      </c>
      <c r="V17" s="3">
        <f t="shared" si="12"/>
        <v>28002198920.550686</v>
      </c>
      <c r="W17" s="3">
        <f t="shared" si="13"/>
        <v>470647704.52338189</v>
      </c>
      <c r="X17" s="3">
        <f t="shared" si="14"/>
        <v>171786412151.03439</v>
      </c>
      <c r="Y17" s="3">
        <f t="shared" si="15"/>
        <v>25817201349176.203</v>
      </c>
      <c r="AK17">
        <v>1</v>
      </c>
      <c r="AM17">
        <f t="shared" si="16"/>
        <v>1</v>
      </c>
      <c r="AN17">
        <v>1</v>
      </c>
      <c r="AP17">
        <f t="shared" si="17"/>
        <v>1</v>
      </c>
    </row>
    <row r="18" spans="1:42" x14ac:dyDescent="0.4">
      <c r="A18">
        <v>7</v>
      </c>
      <c r="B18" s="2">
        <v>1078570</v>
      </c>
      <c r="C18" s="2">
        <v>5210690</v>
      </c>
      <c r="D18" s="2">
        <f>IF(B18&lt;2500000,2500000,B18)</f>
        <v>2500000</v>
      </c>
      <c r="E18" s="2">
        <v>1167820</v>
      </c>
      <c r="F18" s="2">
        <v>380509</v>
      </c>
      <c r="G18" s="2">
        <v>256171</v>
      </c>
      <c r="H18" s="2">
        <v>2925264.0893584741</v>
      </c>
      <c r="I18" s="2">
        <f>32.2*(100000)</f>
        <v>3220000.0000000005</v>
      </c>
      <c r="J18" s="2">
        <f t="shared" si="0"/>
        <v>2141430.0000000005</v>
      </c>
      <c r="K18" s="2">
        <f t="shared" si="1"/>
        <v>1990689.9999999995</v>
      </c>
      <c r="L18" s="2">
        <f t="shared" si="2"/>
        <v>720000.00000000047</v>
      </c>
      <c r="M18" s="2">
        <f t="shared" si="3"/>
        <v>2052180.0000000005</v>
      </c>
      <c r="N18" s="2">
        <f t="shared" si="4"/>
        <v>2839491.0000000005</v>
      </c>
      <c r="O18" s="2">
        <f t="shared" si="5"/>
        <v>2963829.0000000005</v>
      </c>
      <c r="P18" s="2">
        <f t="shared" si="6"/>
        <v>294735.91064152634</v>
      </c>
      <c r="Q18" s="3">
        <f t="shared" si="7"/>
        <v>12563623136.712334</v>
      </c>
      <c r="R18" s="3">
        <f t="shared" si="8"/>
        <v>10857114181.095884</v>
      </c>
      <c r="S18" s="3">
        <f t="shared" si="9"/>
        <v>1420273972.6027415</v>
      </c>
      <c r="T18" s="3">
        <f t="shared" si="10"/>
        <v>11538199321.643841</v>
      </c>
      <c r="U18" s="3">
        <f t="shared" si="11"/>
        <v>22089614079.673981</v>
      </c>
      <c r="V18" s="3">
        <f t="shared" si="12"/>
        <v>24066526962.304119</v>
      </c>
      <c r="W18" s="3">
        <f t="shared" si="13"/>
        <v>237997964.44298577</v>
      </c>
      <c r="X18" s="3">
        <f t="shared" si="14"/>
        <v>86869257021.689804</v>
      </c>
      <c r="Y18" s="3">
        <f t="shared" si="15"/>
        <v>25584001450546.066</v>
      </c>
      <c r="AK18">
        <v>380509</v>
      </c>
      <c r="AM18">
        <f t="shared" si="16"/>
        <v>380509</v>
      </c>
      <c r="AN18">
        <v>256171</v>
      </c>
      <c r="AP18">
        <f t="shared" si="17"/>
        <v>256171</v>
      </c>
    </row>
    <row r="19" spans="1:42" x14ac:dyDescent="0.4">
      <c r="A19">
        <v>8</v>
      </c>
      <c r="B19" s="2">
        <v>5375920</v>
      </c>
      <c r="C19" s="2">
        <v>6019240</v>
      </c>
      <c r="D19" s="2">
        <f>IF(B19&lt;2500000,2500000,B19)</f>
        <v>5375920</v>
      </c>
      <c r="E19" s="2">
        <v>5437950</v>
      </c>
      <c r="F19" s="2">
        <v>4743500</v>
      </c>
      <c r="G19" s="2">
        <v>4645090</v>
      </c>
      <c r="H19" s="2">
        <v>2625979.2615709198</v>
      </c>
      <c r="I19" s="2">
        <f>32.94*(100000)</f>
        <v>3294000</v>
      </c>
      <c r="J19" s="2">
        <f t="shared" si="0"/>
        <v>2081920</v>
      </c>
      <c r="K19" s="2">
        <f t="shared" si="1"/>
        <v>2725240</v>
      </c>
      <c r="L19" s="2">
        <f t="shared" si="2"/>
        <v>2081920</v>
      </c>
      <c r="M19" s="2">
        <f t="shared" si="3"/>
        <v>2143950</v>
      </c>
      <c r="N19" s="2">
        <f t="shared" si="4"/>
        <v>1449500</v>
      </c>
      <c r="O19" s="2">
        <f t="shared" si="5"/>
        <v>1351090</v>
      </c>
      <c r="P19" s="2">
        <f t="shared" si="6"/>
        <v>668020.73842908023</v>
      </c>
      <c r="Q19" s="3">
        <f t="shared" si="7"/>
        <v>11875043524.383562</v>
      </c>
      <c r="R19" s="3">
        <f t="shared" si="8"/>
        <v>20347761801.643837</v>
      </c>
      <c r="S19" s="3">
        <f t="shared" si="9"/>
        <v>11875043524.383562</v>
      </c>
      <c r="T19" s="3">
        <f t="shared" si="10"/>
        <v>12593209869.863014</v>
      </c>
      <c r="U19" s="3">
        <f t="shared" si="11"/>
        <v>5756302054.7945204</v>
      </c>
      <c r="V19" s="3">
        <f t="shared" si="12"/>
        <v>5001216953.6986303</v>
      </c>
      <c r="W19" s="3">
        <f t="shared" si="13"/>
        <v>1222607416.3598182</v>
      </c>
      <c r="X19" s="3">
        <f t="shared" si="14"/>
        <v>446251706971.33362</v>
      </c>
      <c r="Y19" s="3">
        <f t="shared" si="15"/>
        <v>24840884124518.672</v>
      </c>
      <c r="AK19">
        <v>4.7435</v>
      </c>
      <c r="AL19">
        <v>1000000</v>
      </c>
      <c r="AM19">
        <f t="shared" si="16"/>
        <v>4743500</v>
      </c>
      <c r="AN19">
        <v>4.6450899999999997</v>
      </c>
      <c r="AO19">
        <v>1000000</v>
      </c>
      <c r="AP19">
        <f t="shared" si="17"/>
        <v>4645090</v>
      </c>
    </row>
    <row r="20" spans="1:42" x14ac:dyDescent="0.4">
      <c r="A20">
        <v>9</v>
      </c>
      <c r="B20" s="2">
        <v>475284</v>
      </c>
      <c r="C20" s="2">
        <v>668976</v>
      </c>
      <c r="D20" s="2">
        <f>IF(B20&lt;2500000,2500000,B20)</f>
        <v>2500000</v>
      </c>
      <c r="E20" s="2">
        <v>515609</v>
      </c>
      <c r="F20" s="2">
        <v>245569</v>
      </c>
      <c r="G20" s="2">
        <v>155113</v>
      </c>
      <c r="H20" s="2">
        <v>2592035.867711327</v>
      </c>
      <c r="I20" s="2">
        <f>32.68*(100000)</f>
        <v>3268000</v>
      </c>
      <c r="J20" s="2">
        <f t="shared" si="0"/>
        <v>2792716</v>
      </c>
      <c r="K20" s="2">
        <f t="shared" si="1"/>
        <v>2599024</v>
      </c>
      <c r="L20" s="2">
        <f t="shared" si="2"/>
        <v>768000</v>
      </c>
      <c r="M20" s="2">
        <f t="shared" si="3"/>
        <v>2752391</v>
      </c>
      <c r="N20" s="2">
        <f t="shared" si="4"/>
        <v>3022431</v>
      </c>
      <c r="O20" s="2">
        <f t="shared" si="5"/>
        <v>3112887</v>
      </c>
      <c r="P20" s="2">
        <f t="shared" si="6"/>
        <v>675964.13228867296</v>
      </c>
      <c r="Q20" s="3">
        <f t="shared" si="7"/>
        <v>21367842894.947945</v>
      </c>
      <c r="R20" s="3">
        <f t="shared" si="8"/>
        <v>18506645897.468494</v>
      </c>
      <c r="S20" s="3">
        <f t="shared" si="9"/>
        <v>1615956164.3835616</v>
      </c>
      <c r="T20" s="3">
        <f t="shared" si="10"/>
        <v>20755222512.002739</v>
      </c>
      <c r="U20" s="3">
        <f t="shared" si="11"/>
        <v>25027641506.194519</v>
      </c>
      <c r="V20" s="3">
        <f t="shared" si="12"/>
        <v>26548124588.408218</v>
      </c>
      <c r="W20" s="3">
        <f t="shared" si="13"/>
        <v>1251856186.6870646</v>
      </c>
      <c r="X20" s="3">
        <f t="shared" si="14"/>
        <v>456927508140.77856</v>
      </c>
      <c r="Y20" s="3">
        <f t="shared" si="15"/>
        <v>25100731401231</v>
      </c>
      <c r="AK20">
        <v>245569</v>
      </c>
      <c r="AM20">
        <f t="shared" si="16"/>
        <v>245569</v>
      </c>
      <c r="AN20">
        <v>155113</v>
      </c>
      <c r="AP20">
        <f t="shared" si="17"/>
        <v>155113</v>
      </c>
    </row>
    <row r="21" spans="1:42" x14ac:dyDescent="0.4">
      <c r="A21">
        <v>10</v>
      </c>
      <c r="B21" s="2">
        <v>312045</v>
      </c>
      <c r="C21" s="2">
        <v>299080</v>
      </c>
      <c r="D21" s="2">
        <f>IF(B21&lt;2500000,2500000,B21)</f>
        <v>2500000</v>
      </c>
      <c r="E21" s="2">
        <v>337019</v>
      </c>
      <c r="F21" s="2">
        <v>210805</v>
      </c>
      <c r="G21" s="2">
        <v>133826</v>
      </c>
      <c r="H21" s="2">
        <v>2556496.5887568551</v>
      </c>
      <c r="I21" s="2">
        <f>32.62*(100000)</f>
        <v>3261999.9999999995</v>
      </c>
      <c r="J21" s="2">
        <f t="shared" si="0"/>
        <v>2949954.9999999995</v>
      </c>
      <c r="K21" s="2">
        <f t="shared" si="1"/>
        <v>2962919.9999999995</v>
      </c>
      <c r="L21" s="2">
        <f t="shared" si="2"/>
        <v>761999.99999999953</v>
      </c>
      <c r="M21" s="2">
        <f t="shared" si="3"/>
        <v>2924980.9999999995</v>
      </c>
      <c r="N21" s="2">
        <f t="shared" si="4"/>
        <v>3051194.9999999995</v>
      </c>
      <c r="O21" s="2">
        <f t="shared" si="5"/>
        <v>3128173.9999999995</v>
      </c>
      <c r="P21" s="2">
        <f t="shared" si="6"/>
        <v>705503.41124314442</v>
      </c>
      <c r="Q21" s="3">
        <f t="shared" si="7"/>
        <v>23841738361.712322</v>
      </c>
      <c r="R21" s="3">
        <f t="shared" si="8"/>
        <v>24051766921.643829</v>
      </c>
      <c r="S21" s="3">
        <f t="shared" si="9"/>
        <v>1590805479.4520528</v>
      </c>
      <c r="T21" s="3">
        <f t="shared" si="10"/>
        <v>23439763973.591774</v>
      </c>
      <c r="U21" s="3">
        <f t="shared" si="11"/>
        <v>25506276515.136982</v>
      </c>
      <c r="V21" s="3">
        <f t="shared" si="12"/>
        <v>26809513902.126022</v>
      </c>
      <c r="W21" s="3">
        <f t="shared" si="13"/>
        <v>1363657707.6046941</v>
      </c>
      <c r="X21" s="3">
        <f t="shared" si="14"/>
        <v>497735063275.71338</v>
      </c>
      <c r="Y21" s="3">
        <f t="shared" si="15"/>
        <v>25160888157395.383</v>
      </c>
      <c r="AK21">
        <v>210805</v>
      </c>
      <c r="AM21">
        <f t="shared" si="16"/>
        <v>210805</v>
      </c>
      <c r="AN21">
        <v>133826</v>
      </c>
      <c r="AP21">
        <f t="shared" si="17"/>
        <v>133826</v>
      </c>
    </row>
    <row r="22" spans="1:42" x14ac:dyDescent="0.4">
      <c r="A22">
        <v>11</v>
      </c>
      <c r="B22" s="2">
        <v>232831</v>
      </c>
      <c r="C22" s="2">
        <v>137934</v>
      </c>
      <c r="D22" s="2">
        <f>IF(B22&lt;2500000,2500000,B22)</f>
        <v>2500000</v>
      </c>
      <c r="E22" s="2">
        <v>246943</v>
      </c>
      <c r="F22" s="2">
        <v>182726</v>
      </c>
      <c r="G22" s="2">
        <v>117325</v>
      </c>
      <c r="H22" s="2">
        <v>2532884.154136599</v>
      </c>
      <c r="I22" s="2">
        <f>31.74*(100000)</f>
        <v>3174000</v>
      </c>
      <c r="J22" s="2">
        <f t="shared" si="0"/>
        <v>2941169</v>
      </c>
      <c r="K22" s="2">
        <f t="shared" si="1"/>
        <v>3036066</v>
      </c>
      <c r="L22" s="2">
        <f t="shared" si="2"/>
        <v>674000</v>
      </c>
      <c r="M22" s="2">
        <f t="shared" si="3"/>
        <v>2927057</v>
      </c>
      <c r="N22" s="2">
        <f t="shared" si="4"/>
        <v>2991274</v>
      </c>
      <c r="O22" s="2">
        <f t="shared" si="5"/>
        <v>3056675</v>
      </c>
      <c r="P22" s="2">
        <f t="shared" si="6"/>
        <v>641115.84586340096</v>
      </c>
      <c r="Q22" s="3">
        <f t="shared" si="7"/>
        <v>23699931744.002739</v>
      </c>
      <c r="R22" s="3">
        <f t="shared" si="8"/>
        <v>25253963716.043835</v>
      </c>
      <c r="S22" s="3">
        <f t="shared" si="9"/>
        <v>1244591780.8219178</v>
      </c>
      <c r="T22" s="3">
        <f t="shared" si="10"/>
        <v>23473048441.778084</v>
      </c>
      <c r="U22" s="3">
        <f t="shared" si="11"/>
        <v>24514301761.852055</v>
      </c>
      <c r="V22" s="3">
        <f t="shared" si="12"/>
        <v>25597978234.589043</v>
      </c>
      <c r="W22" s="3">
        <f t="shared" si="13"/>
        <v>1126108295.389436</v>
      </c>
      <c r="X22" s="3">
        <f t="shared" si="14"/>
        <v>411029527817.1441</v>
      </c>
      <c r="Y22" s="3">
        <f t="shared" si="15"/>
        <v>26051459247806.34</v>
      </c>
      <c r="AK22">
        <v>182726</v>
      </c>
      <c r="AM22">
        <f t="shared" si="16"/>
        <v>182726</v>
      </c>
      <c r="AN22">
        <v>117325</v>
      </c>
      <c r="AP22">
        <f t="shared" si="17"/>
        <v>117325</v>
      </c>
    </row>
    <row r="23" spans="1:42" x14ac:dyDescent="0.4">
      <c r="A23">
        <v>12</v>
      </c>
      <c r="B23" s="2">
        <v>340262</v>
      </c>
      <c r="C23" s="2">
        <v>809388</v>
      </c>
      <c r="D23" s="2">
        <f>IF(B23&lt;2500000,2500000,B23)</f>
        <v>2500000</v>
      </c>
      <c r="E23" s="2">
        <v>359563</v>
      </c>
      <c r="F23" s="2">
        <v>215124</v>
      </c>
      <c r="G23" s="2">
        <v>141366</v>
      </c>
      <c r="H23" s="2">
        <v>2550511.40529249</v>
      </c>
      <c r="I23" s="2">
        <f>32.06*(100000)</f>
        <v>3206000</v>
      </c>
      <c r="J23" s="2">
        <f t="shared" si="0"/>
        <v>2865738</v>
      </c>
      <c r="K23" s="2">
        <f t="shared" si="1"/>
        <v>2396612</v>
      </c>
      <c r="L23" s="2">
        <f t="shared" si="2"/>
        <v>706000</v>
      </c>
      <c r="M23" s="2">
        <f t="shared" si="3"/>
        <v>2846437</v>
      </c>
      <c r="N23" s="2">
        <f t="shared" si="4"/>
        <v>2990876</v>
      </c>
      <c r="O23" s="2">
        <f t="shared" si="5"/>
        <v>3064634</v>
      </c>
      <c r="P23" s="2">
        <f t="shared" si="6"/>
        <v>655488.59470750997</v>
      </c>
      <c r="Q23" s="3">
        <f t="shared" si="7"/>
        <v>22499874752.449314</v>
      </c>
      <c r="R23" s="3">
        <f t="shared" si="8"/>
        <v>15736298845.326027</v>
      </c>
      <c r="S23" s="3">
        <f t="shared" si="9"/>
        <v>1365578082.1917808</v>
      </c>
      <c r="T23" s="3">
        <f t="shared" si="10"/>
        <v>22197818068.408218</v>
      </c>
      <c r="U23" s="3">
        <f t="shared" si="11"/>
        <v>24507778759.934246</v>
      </c>
      <c r="V23" s="3">
        <f t="shared" si="12"/>
        <v>25731456312.208218</v>
      </c>
      <c r="W23" s="3">
        <f t="shared" si="13"/>
        <v>1177165199.4291131</v>
      </c>
      <c r="X23" s="3">
        <f t="shared" si="14"/>
        <v>429665297791.62628</v>
      </c>
      <c r="Y23" s="3">
        <f t="shared" si="15"/>
        <v>25725823214929.629</v>
      </c>
      <c r="AK23">
        <v>215124</v>
      </c>
      <c r="AM23">
        <f t="shared" si="16"/>
        <v>215124</v>
      </c>
      <c r="AN23">
        <v>141366</v>
      </c>
      <c r="AP23">
        <f t="shared" si="17"/>
        <v>141366</v>
      </c>
    </row>
    <row r="24" spans="1:42" x14ac:dyDescent="0.4">
      <c r="A24">
        <v>13</v>
      </c>
      <c r="B24" s="2">
        <v>9372190</v>
      </c>
      <c r="C24" s="2">
        <v>44175200</v>
      </c>
      <c r="D24" s="2">
        <f>IF(B24&lt;2500000,2500000,B24)</f>
        <v>9372190</v>
      </c>
      <c r="E24" s="2">
        <v>10134500</v>
      </c>
      <c r="F24" s="2">
        <v>3391290</v>
      </c>
      <c r="G24" s="2">
        <v>2280010</v>
      </c>
      <c r="H24" s="2">
        <v>5698900.300285399</v>
      </c>
      <c r="I24" s="2">
        <f>62.59*(100000)</f>
        <v>6259000</v>
      </c>
      <c r="J24" s="2">
        <f t="shared" si="0"/>
        <v>3113190</v>
      </c>
      <c r="K24" s="2">
        <f t="shared" si="1"/>
        <v>37916200</v>
      </c>
      <c r="L24" s="2">
        <f t="shared" si="2"/>
        <v>3113190</v>
      </c>
      <c r="M24" s="2">
        <f t="shared" si="3"/>
        <v>3875500</v>
      </c>
      <c r="N24" s="2">
        <f t="shared" si="4"/>
        <v>2867710</v>
      </c>
      <c r="O24" s="2">
        <f t="shared" si="5"/>
        <v>3978990</v>
      </c>
      <c r="P24" s="2">
        <f t="shared" si="6"/>
        <v>560099.69971460104</v>
      </c>
      <c r="Q24" s="3">
        <f t="shared" si="7"/>
        <v>26553293085.205479</v>
      </c>
      <c r="R24" s="3">
        <f t="shared" si="8"/>
        <v>3938734856000</v>
      </c>
      <c r="S24" s="3">
        <f t="shared" si="9"/>
        <v>26553293085.205479</v>
      </c>
      <c r="T24" s="3">
        <f t="shared" si="10"/>
        <v>41149315753.42466</v>
      </c>
      <c r="U24" s="3">
        <f t="shared" si="11"/>
        <v>22530851079.726028</v>
      </c>
      <c r="V24" s="3">
        <f t="shared" si="12"/>
        <v>43376332657.80822</v>
      </c>
      <c r="W24" s="3">
        <f t="shared" si="13"/>
        <v>859484037.3161267</v>
      </c>
      <c r="X24" s="3">
        <f t="shared" si="14"/>
        <v>313711673620.38623</v>
      </c>
      <c r="Y24" s="3">
        <f t="shared" si="15"/>
        <v>4076615453285.7944</v>
      </c>
      <c r="AK24">
        <v>3.3912900000000001</v>
      </c>
      <c r="AL24">
        <v>1000000</v>
      </c>
      <c r="AM24">
        <f t="shared" si="16"/>
        <v>3391290</v>
      </c>
      <c r="AN24">
        <v>2.2800099999999999</v>
      </c>
      <c r="AO24">
        <v>1000000</v>
      </c>
      <c r="AP24">
        <f t="shared" si="17"/>
        <v>2280010</v>
      </c>
    </row>
    <row r="25" spans="1:42" x14ac:dyDescent="0.4">
      <c r="A25">
        <v>14</v>
      </c>
      <c r="B25" s="2">
        <v>15010200</v>
      </c>
      <c r="C25" s="2">
        <v>51085900</v>
      </c>
      <c r="D25" s="2">
        <f>IF(B25&lt;2500000,2500000,B25)</f>
        <v>15010200</v>
      </c>
      <c r="E25" s="2">
        <v>16108400</v>
      </c>
      <c r="F25" s="2">
        <v>5249400</v>
      </c>
      <c r="G25" s="2">
        <v>3490960</v>
      </c>
      <c r="H25" s="2">
        <v>6396855.5490849521</v>
      </c>
      <c r="I25" s="2">
        <f>40.65*(100000)</f>
        <v>4065000</v>
      </c>
      <c r="J25" s="2">
        <f t="shared" si="0"/>
        <v>10945200</v>
      </c>
      <c r="K25" s="2">
        <f t="shared" si="1"/>
        <v>47020900</v>
      </c>
      <c r="L25" s="2">
        <f t="shared" si="2"/>
        <v>10945200</v>
      </c>
      <c r="M25" s="2">
        <f t="shared" si="3"/>
        <v>12043400</v>
      </c>
      <c r="N25" s="2">
        <f t="shared" si="4"/>
        <v>1184400</v>
      </c>
      <c r="O25" s="2">
        <f t="shared" si="5"/>
        <v>574040</v>
      </c>
      <c r="P25" s="2">
        <f t="shared" si="6"/>
        <v>2331855.5490849521</v>
      </c>
      <c r="Q25" s="3">
        <f t="shared" si="7"/>
        <v>328212063123.28766</v>
      </c>
      <c r="R25" s="3">
        <f t="shared" si="8"/>
        <v>6057438457013.6982</v>
      </c>
      <c r="S25" s="3">
        <f t="shared" si="9"/>
        <v>328212063123.28766</v>
      </c>
      <c r="T25" s="3">
        <f t="shared" si="10"/>
        <v>397379407013.69861</v>
      </c>
      <c r="U25" s="3">
        <f t="shared" si="11"/>
        <v>3843296876.7123289</v>
      </c>
      <c r="V25" s="3">
        <f t="shared" si="12"/>
        <v>902799785.2054795</v>
      </c>
      <c r="W25" s="3">
        <f t="shared" si="13"/>
        <v>14897398087.118584</v>
      </c>
      <c r="X25" s="3">
        <f t="shared" si="14"/>
        <v>5437550301798.2832</v>
      </c>
      <c r="Y25" s="3">
        <f t="shared" si="15"/>
        <v>17749899957395.383</v>
      </c>
      <c r="AK25">
        <v>5.2493999999999996</v>
      </c>
      <c r="AL25">
        <v>1000000</v>
      </c>
      <c r="AM25">
        <f t="shared" si="16"/>
        <v>5249400</v>
      </c>
      <c r="AN25">
        <v>3.4909599999999998</v>
      </c>
      <c r="AO25">
        <v>1000000</v>
      </c>
      <c r="AP25">
        <f t="shared" si="17"/>
        <v>3490960</v>
      </c>
    </row>
    <row r="26" spans="1:42" x14ac:dyDescent="0.4">
      <c r="A26">
        <v>15</v>
      </c>
      <c r="B26" s="2">
        <v>18225500</v>
      </c>
      <c r="C26" s="2">
        <v>21500600</v>
      </c>
      <c r="D26" s="2">
        <f>IF(B26&lt;2500000,2500000,B26)</f>
        <v>18225500</v>
      </c>
      <c r="E26" s="2">
        <v>18990700</v>
      </c>
      <c r="F26" s="2">
        <v>4479380</v>
      </c>
      <c r="G26" s="2">
        <v>2944800</v>
      </c>
      <c r="H26" s="2">
        <v>4707375.9030536897</v>
      </c>
      <c r="I26" s="2">
        <f>38.38*(100000)</f>
        <v>3838000.0000000005</v>
      </c>
      <c r="J26" s="2">
        <f t="shared" si="0"/>
        <v>14387500</v>
      </c>
      <c r="K26" s="2">
        <f t="shared" si="1"/>
        <v>17662600</v>
      </c>
      <c r="L26" s="2">
        <f t="shared" si="2"/>
        <v>14387500</v>
      </c>
      <c r="M26" s="2">
        <f t="shared" si="3"/>
        <v>15152700</v>
      </c>
      <c r="N26" s="2">
        <f t="shared" si="4"/>
        <v>641379.99999999953</v>
      </c>
      <c r="O26" s="2">
        <f t="shared" si="5"/>
        <v>893200.00000000047</v>
      </c>
      <c r="P26" s="2">
        <f t="shared" si="6"/>
        <v>869375.90305368928</v>
      </c>
      <c r="Q26" s="3">
        <f t="shared" si="7"/>
        <v>567123715753.42468</v>
      </c>
      <c r="R26" s="3">
        <f t="shared" si="8"/>
        <v>854705311671.23291</v>
      </c>
      <c r="S26" s="3">
        <f t="shared" si="9"/>
        <v>567123715753.42468</v>
      </c>
      <c r="T26" s="3">
        <f t="shared" si="10"/>
        <v>629052924082.19177</v>
      </c>
      <c r="U26" s="3">
        <f t="shared" si="11"/>
        <v>1127036450.4109573</v>
      </c>
      <c r="V26" s="3">
        <f t="shared" si="12"/>
        <v>2185770520.5479474</v>
      </c>
      <c r="W26" s="3">
        <f t="shared" si="13"/>
        <v>2070724550.1655281</v>
      </c>
      <c r="X26" s="3">
        <f t="shared" si="14"/>
        <v>755814460810.41772</v>
      </c>
      <c r="Y26" s="3">
        <f t="shared" si="15"/>
        <v>19714159565614.563</v>
      </c>
      <c r="AK26">
        <v>4.4793799999999999</v>
      </c>
      <c r="AL26">
        <v>1000000</v>
      </c>
      <c r="AM26">
        <f t="shared" si="16"/>
        <v>4479380</v>
      </c>
      <c r="AN26">
        <v>2.9447999999999999</v>
      </c>
      <c r="AO26">
        <v>1000000</v>
      </c>
      <c r="AP26">
        <f t="shared" si="17"/>
        <v>2944800</v>
      </c>
    </row>
    <row r="27" spans="1:42" x14ac:dyDescent="0.4">
      <c r="A27">
        <v>16</v>
      </c>
      <c r="B27" s="2">
        <v>16520299.999999998</v>
      </c>
      <c r="C27" s="2">
        <v>9829610</v>
      </c>
      <c r="D27" s="2">
        <f>IF(B27&lt;2500000,2500000,B27)</f>
        <v>16520299.999999998</v>
      </c>
      <c r="E27" s="2">
        <v>17039900</v>
      </c>
      <c r="F27" s="2">
        <v>3920750</v>
      </c>
      <c r="G27" s="2">
        <v>2563510</v>
      </c>
      <c r="H27" s="2">
        <v>4436257.9804628231</v>
      </c>
      <c r="I27" s="2">
        <f>32.55*(100000)</f>
        <v>3254999.9999999995</v>
      </c>
      <c r="J27" s="2">
        <f t="shared" si="0"/>
        <v>13265299.999999998</v>
      </c>
      <c r="K27" s="2">
        <f t="shared" si="1"/>
        <v>6574610</v>
      </c>
      <c r="L27" s="2">
        <f t="shared" si="2"/>
        <v>13265299.999999998</v>
      </c>
      <c r="M27" s="2">
        <f t="shared" si="3"/>
        <v>13784900</v>
      </c>
      <c r="N27" s="2">
        <f t="shared" si="4"/>
        <v>665750.00000000047</v>
      </c>
      <c r="O27" s="2">
        <f t="shared" si="5"/>
        <v>691489.99999999953</v>
      </c>
      <c r="P27" s="2">
        <f t="shared" si="6"/>
        <v>1181257.9804628235</v>
      </c>
      <c r="Q27" s="3">
        <f t="shared" si="7"/>
        <v>482104613945.20532</v>
      </c>
      <c r="R27" s="3">
        <f t="shared" si="8"/>
        <v>118426018224.9315</v>
      </c>
      <c r="S27" s="3">
        <f t="shared" si="9"/>
        <v>482104613945.20532</v>
      </c>
      <c r="T27" s="3">
        <f t="shared" si="10"/>
        <v>520612241123.28766</v>
      </c>
      <c r="U27" s="3">
        <f t="shared" si="11"/>
        <v>1214309760.2739742</v>
      </c>
      <c r="V27" s="3">
        <f t="shared" si="12"/>
        <v>1310023068.7671216</v>
      </c>
      <c r="W27" s="3">
        <f t="shared" si="13"/>
        <v>3822932647.6907082</v>
      </c>
      <c r="X27" s="3">
        <f t="shared" si="14"/>
        <v>1395370416407.1084</v>
      </c>
      <c r="Y27" s="3">
        <f t="shared" si="15"/>
        <v>25231162039587.164</v>
      </c>
      <c r="AK27">
        <v>3.92075</v>
      </c>
      <c r="AL27">
        <v>1000000</v>
      </c>
      <c r="AM27">
        <f t="shared" si="16"/>
        <v>3920750</v>
      </c>
      <c r="AN27">
        <v>2.56351</v>
      </c>
      <c r="AO27">
        <v>1000000</v>
      </c>
      <c r="AP27">
        <f t="shared" si="17"/>
        <v>2563510</v>
      </c>
    </row>
    <row r="28" spans="1:42" x14ac:dyDescent="0.4">
      <c r="A28">
        <v>17</v>
      </c>
      <c r="B28" s="2">
        <v>9459180</v>
      </c>
      <c r="C28" s="2">
        <v>4122760.0000000005</v>
      </c>
      <c r="D28" s="2">
        <f>IF(B28&lt;2500000,2500000,B28)</f>
        <v>9459180</v>
      </c>
      <c r="E28" s="2">
        <v>9773510</v>
      </c>
      <c r="F28" s="2">
        <v>3337600</v>
      </c>
      <c r="G28" s="2">
        <v>6631540</v>
      </c>
      <c r="H28" s="2">
        <v>3828446.392925214</v>
      </c>
      <c r="I28" s="2">
        <f>32.81*(100000)</f>
        <v>3281000</v>
      </c>
      <c r="J28" s="2">
        <f t="shared" si="0"/>
        <v>6178180</v>
      </c>
      <c r="K28" s="2">
        <f t="shared" si="1"/>
        <v>841760.00000000047</v>
      </c>
      <c r="L28" s="2">
        <f t="shared" si="2"/>
        <v>6178180</v>
      </c>
      <c r="M28" s="2">
        <f t="shared" si="3"/>
        <v>6492510</v>
      </c>
      <c r="N28" s="2">
        <f t="shared" si="4"/>
        <v>56600</v>
      </c>
      <c r="O28" s="2">
        <f t="shared" si="5"/>
        <v>3350540</v>
      </c>
      <c r="P28" s="2">
        <f t="shared" si="6"/>
        <v>547446.39292521402</v>
      </c>
      <c r="Q28" s="3">
        <f t="shared" si="7"/>
        <v>104575090718.90411</v>
      </c>
      <c r="R28" s="3">
        <f t="shared" si="8"/>
        <v>1941259993.4246595</v>
      </c>
      <c r="S28" s="3">
        <f t="shared" si="9"/>
        <v>104575090718.90411</v>
      </c>
      <c r="T28" s="3">
        <f t="shared" si="10"/>
        <v>115486811233.15068</v>
      </c>
      <c r="U28" s="3">
        <f t="shared" si="11"/>
        <v>8776876.7123287674</v>
      </c>
      <c r="V28" s="3">
        <f t="shared" si="12"/>
        <v>30756488470.136986</v>
      </c>
      <c r="W28" s="3">
        <f t="shared" si="13"/>
        <v>821089186.64884329</v>
      </c>
      <c r="X28" s="3">
        <f t="shared" si="14"/>
        <v>299697553126.82782</v>
      </c>
      <c r="Y28" s="3">
        <f t="shared" si="15"/>
        <v>24970638762874.836</v>
      </c>
      <c r="AK28">
        <v>3.3376000000000001</v>
      </c>
      <c r="AL28">
        <v>1000000</v>
      </c>
      <c r="AM28">
        <f t="shared" si="16"/>
        <v>3337600</v>
      </c>
      <c r="AN28">
        <v>6.6315400000000002</v>
      </c>
      <c r="AO28">
        <v>1000000</v>
      </c>
      <c r="AP28">
        <f t="shared" si="17"/>
        <v>6631540</v>
      </c>
    </row>
    <row r="29" spans="1:42" x14ac:dyDescent="0.4">
      <c r="A29">
        <v>18</v>
      </c>
      <c r="B29" s="2">
        <v>11883800</v>
      </c>
      <c r="C29" s="2">
        <v>2628450</v>
      </c>
      <c r="D29" s="2">
        <f>IF(B29&lt;2500000,2500000,B29)</f>
        <v>11883800</v>
      </c>
      <c r="E29" s="2">
        <v>12042400</v>
      </c>
      <c r="F29" s="2">
        <v>2950560</v>
      </c>
      <c r="G29" s="2">
        <v>1930630</v>
      </c>
      <c r="H29" s="2">
        <v>3525197.889482785</v>
      </c>
      <c r="I29" s="2">
        <f>32.97*(100000)</f>
        <v>3297000</v>
      </c>
      <c r="J29" s="2">
        <f t="shared" si="0"/>
        <v>8586800</v>
      </c>
      <c r="K29" s="2">
        <f t="shared" si="1"/>
        <v>668550</v>
      </c>
      <c r="L29" s="2">
        <f t="shared" si="2"/>
        <v>8586800</v>
      </c>
      <c r="M29" s="2">
        <f t="shared" si="3"/>
        <v>8745400</v>
      </c>
      <c r="N29" s="2">
        <f t="shared" si="4"/>
        <v>346440</v>
      </c>
      <c r="O29" s="2">
        <f t="shared" si="5"/>
        <v>1366370</v>
      </c>
      <c r="P29" s="2">
        <f t="shared" si="6"/>
        <v>228197.88948278502</v>
      </c>
      <c r="Q29" s="3">
        <f t="shared" si="7"/>
        <v>202008586958.90411</v>
      </c>
      <c r="R29" s="3">
        <f t="shared" si="8"/>
        <v>1224545486.3013699</v>
      </c>
      <c r="S29" s="3">
        <f t="shared" si="9"/>
        <v>202008586958.90411</v>
      </c>
      <c r="T29" s="3">
        <f t="shared" si="10"/>
        <v>209539784000</v>
      </c>
      <c r="U29" s="3">
        <f t="shared" si="11"/>
        <v>328823763.28767121</v>
      </c>
      <c r="V29" s="3">
        <f t="shared" si="12"/>
        <v>5114978018.90411</v>
      </c>
      <c r="W29" s="3">
        <f t="shared" si="13"/>
        <v>142669251.40930784</v>
      </c>
      <c r="X29" s="3">
        <f t="shared" si="14"/>
        <v>52074276764.397362</v>
      </c>
      <c r="Y29" s="3">
        <f t="shared" si="15"/>
        <v>24810988746436.48</v>
      </c>
      <c r="AK29">
        <v>2.9505599999999998</v>
      </c>
      <c r="AL29">
        <v>1000000</v>
      </c>
      <c r="AM29">
        <f t="shared" si="16"/>
        <v>2950560</v>
      </c>
      <c r="AN29">
        <v>1.9306300000000001</v>
      </c>
      <c r="AO29">
        <v>1000000</v>
      </c>
      <c r="AP29">
        <f t="shared" si="17"/>
        <v>1930630</v>
      </c>
    </row>
    <row r="30" spans="1:42" x14ac:dyDescent="0.4">
      <c r="A30">
        <v>19</v>
      </c>
      <c r="B30" s="2">
        <v>5316150</v>
      </c>
      <c r="C30" s="2">
        <v>1113720</v>
      </c>
      <c r="D30" s="2">
        <f>IF(B30&lt;2500000,2500000,B30)</f>
        <v>5316150</v>
      </c>
      <c r="E30" s="2">
        <v>5388550</v>
      </c>
      <c r="F30" s="2">
        <v>2580610</v>
      </c>
      <c r="G30" s="2">
        <v>1706320</v>
      </c>
      <c r="H30" s="2">
        <v>3289094.158963989</v>
      </c>
      <c r="I30" s="2">
        <f>32.32*(100000)</f>
        <v>3232000</v>
      </c>
      <c r="J30" s="2">
        <f t="shared" si="0"/>
        <v>2084150</v>
      </c>
      <c r="K30" s="2">
        <f t="shared" si="1"/>
        <v>2118280</v>
      </c>
      <c r="L30" s="2">
        <f t="shared" si="2"/>
        <v>2084150</v>
      </c>
      <c r="M30" s="2">
        <f t="shared" si="3"/>
        <v>2156550</v>
      </c>
      <c r="N30" s="2">
        <f t="shared" si="4"/>
        <v>651390</v>
      </c>
      <c r="O30" s="2">
        <f t="shared" si="5"/>
        <v>1525680</v>
      </c>
      <c r="P30" s="2">
        <f t="shared" si="6"/>
        <v>57094.158963989001</v>
      </c>
      <c r="Q30" s="3">
        <f t="shared" si="7"/>
        <v>11900496500</v>
      </c>
      <c r="R30" s="3">
        <f t="shared" si="8"/>
        <v>12293452488.767124</v>
      </c>
      <c r="S30" s="3">
        <f t="shared" si="9"/>
        <v>11900496500</v>
      </c>
      <c r="T30" s="3">
        <f t="shared" si="10"/>
        <v>12741665486.301371</v>
      </c>
      <c r="U30" s="3">
        <f t="shared" si="11"/>
        <v>1162490224.9315069</v>
      </c>
      <c r="V30" s="3">
        <f t="shared" si="12"/>
        <v>6377258801.09589</v>
      </c>
      <c r="W30" s="3">
        <f t="shared" si="13"/>
        <v>8930802.7063157409</v>
      </c>
      <c r="X30" s="3">
        <f t="shared" si="14"/>
        <v>3259742987.8052454</v>
      </c>
      <c r="Y30" s="3">
        <f t="shared" si="15"/>
        <v>25462751938217.301</v>
      </c>
      <c r="AK30">
        <v>2.5806100000000001</v>
      </c>
      <c r="AL30">
        <v>1000000</v>
      </c>
      <c r="AM30">
        <f t="shared" si="16"/>
        <v>2580610</v>
      </c>
      <c r="AN30">
        <v>1.7063200000000001</v>
      </c>
      <c r="AO30">
        <v>1000000</v>
      </c>
      <c r="AP30">
        <f t="shared" si="17"/>
        <v>1706320</v>
      </c>
    </row>
    <row r="31" spans="1:42" x14ac:dyDescent="0.4">
      <c r="A31">
        <v>20</v>
      </c>
      <c r="B31" s="2">
        <v>8152930</v>
      </c>
      <c r="C31" s="2">
        <v>524490</v>
      </c>
      <c r="D31" s="2">
        <f>IF(B31&lt;2500000,2500000,B31)</f>
        <v>8152930</v>
      </c>
      <c r="E31" s="2">
        <v>3690670</v>
      </c>
      <c r="F31" s="2">
        <v>2273350</v>
      </c>
      <c r="G31" s="2">
        <v>1525590</v>
      </c>
      <c r="H31" s="2">
        <v>3073541.1028989851</v>
      </c>
      <c r="I31" s="2">
        <f>31.77*(100000)</f>
        <v>3177000</v>
      </c>
      <c r="J31" s="2">
        <f t="shared" si="0"/>
        <v>4975930</v>
      </c>
      <c r="K31" s="2">
        <f t="shared" si="1"/>
        <v>2652510</v>
      </c>
      <c r="L31" s="2">
        <f t="shared" si="2"/>
        <v>4975930</v>
      </c>
      <c r="M31" s="2">
        <f t="shared" si="3"/>
        <v>513670</v>
      </c>
      <c r="N31" s="2">
        <f t="shared" si="4"/>
        <v>903650</v>
      </c>
      <c r="O31" s="2">
        <f t="shared" si="5"/>
        <v>1651410</v>
      </c>
      <c r="P31" s="2">
        <f t="shared" si="6"/>
        <v>103458.89710101485</v>
      </c>
      <c r="Q31" s="3">
        <f t="shared" si="7"/>
        <v>67835285931.23288</v>
      </c>
      <c r="R31" s="3">
        <f t="shared" si="8"/>
        <v>19276189863.28767</v>
      </c>
      <c r="S31" s="3">
        <f t="shared" si="9"/>
        <v>67835285931.23288</v>
      </c>
      <c r="T31" s="3">
        <f t="shared" si="10"/>
        <v>722895531.23287666</v>
      </c>
      <c r="U31" s="3">
        <f t="shared" si="11"/>
        <v>2237214582.191781</v>
      </c>
      <c r="V31" s="3">
        <f t="shared" si="12"/>
        <v>7471657501.643836</v>
      </c>
      <c r="W31" s="3">
        <f t="shared" si="13"/>
        <v>29325324.354406517</v>
      </c>
      <c r="X31" s="3">
        <f t="shared" si="14"/>
        <v>10703743389.358379</v>
      </c>
      <c r="Y31" s="3">
        <f t="shared" si="15"/>
        <v>26020843869724.148</v>
      </c>
      <c r="AK31">
        <v>2.2733500000000002</v>
      </c>
      <c r="AL31">
        <v>1000000</v>
      </c>
      <c r="AM31">
        <f t="shared" si="16"/>
        <v>2273350</v>
      </c>
      <c r="AN31">
        <v>1.52559</v>
      </c>
      <c r="AO31">
        <v>1000000</v>
      </c>
      <c r="AP31">
        <f t="shared" si="17"/>
        <v>1525590</v>
      </c>
    </row>
    <row r="32" spans="1:42" x14ac:dyDescent="0.4">
      <c r="A32">
        <v>21</v>
      </c>
      <c r="B32" s="2">
        <v>2401520</v>
      </c>
      <c r="C32" s="2">
        <v>248354</v>
      </c>
      <c r="D32" s="2">
        <f>IF(B32&lt;2500000,2500000,B32)</f>
        <v>2500000</v>
      </c>
      <c r="E32" s="2">
        <v>6865920</v>
      </c>
      <c r="F32" s="2">
        <v>2007369.9999999998</v>
      </c>
      <c r="G32" s="2">
        <v>1370140</v>
      </c>
      <c r="H32" s="2">
        <v>2887734.9736674372</v>
      </c>
      <c r="I32" s="2">
        <f>32.31*(100000)</f>
        <v>3231000</v>
      </c>
      <c r="J32" s="2">
        <f t="shared" si="0"/>
        <v>829480</v>
      </c>
      <c r="K32" s="2">
        <f t="shared" si="1"/>
        <v>2982646</v>
      </c>
      <c r="L32" s="2">
        <f t="shared" si="2"/>
        <v>731000</v>
      </c>
      <c r="M32" s="2">
        <f t="shared" si="3"/>
        <v>3634920</v>
      </c>
      <c r="N32" s="2">
        <f t="shared" si="4"/>
        <v>1223630.0000000002</v>
      </c>
      <c r="O32" s="2">
        <f t="shared" si="5"/>
        <v>1860860</v>
      </c>
      <c r="P32" s="2">
        <f t="shared" si="6"/>
        <v>343265.02633256279</v>
      </c>
      <c r="Q32" s="3">
        <f t="shared" si="7"/>
        <v>1885033069.589041</v>
      </c>
      <c r="R32" s="3">
        <f t="shared" si="8"/>
        <v>24373088113.194519</v>
      </c>
      <c r="S32" s="3">
        <f t="shared" si="9"/>
        <v>1464002739.7260275</v>
      </c>
      <c r="T32" s="3">
        <f t="shared" si="10"/>
        <v>36199023031.23288</v>
      </c>
      <c r="U32" s="3">
        <f t="shared" si="11"/>
        <v>4102110621.643837</v>
      </c>
      <c r="V32" s="3">
        <f t="shared" si="12"/>
        <v>9487123122.1917801</v>
      </c>
      <c r="W32" s="3">
        <f t="shared" si="13"/>
        <v>322824324.11806858</v>
      </c>
      <c r="X32" s="3">
        <f t="shared" si="14"/>
        <v>117830878303.09503</v>
      </c>
      <c r="Y32" s="3">
        <f t="shared" si="15"/>
        <v>25472845064244.699</v>
      </c>
      <c r="AK32">
        <v>2.0073699999999999</v>
      </c>
      <c r="AL32">
        <v>1000000</v>
      </c>
      <c r="AM32">
        <f t="shared" si="16"/>
        <v>2007369.9999999998</v>
      </c>
      <c r="AN32">
        <v>1.3701399999999999</v>
      </c>
      <c r="AO32">
        <v>1000000</v>
      </c>
      <c r="AP32">
        <f t="shared" si="17"/>
        <v>1370140</v>
      </c>
    </row>
    <row r="33" spans="1:42" x14ac:dyDescent="0.4">
      <c r="A33">
        <v>22</v>
      </c>
      <c r="B33" s="2">
        <v>4981870</v>
      </c>
      <c r="C33" s="2">
        <v>15752200</v>
      </c>
      <c r="D33" s="2">
        <f>IF(B33&lt;2500000,2500000,B33)</f>
        <v>4981870</v>
      </c>
      <c r="E33" s="2">
        <v>5163520</v>
      </c>
      <c r="F33" s="2">
        <v>2919410</v>
      </c>
      <c r="G33" s="2">
        <v>2003899.9999999998</v>
      </c>
      <c r="H33" s="2">
        <v>3493361.536678012</v>
      </c>
      <c r="I33" s="2">
        <f>37.23*(100000)</f>
        <v>3722999.9999999995</v>
      </c>
      <c r="J33" s="2">
        <f t="shared" si="0"/>
        <v>1258870.0000000005</v>
      </c>
      <c r="K33" s="2">
        <f t="shared" si="1"/>
        <v>12029200</v>
      </c>
      <c r="L33" s="2">
        <f t="shared" si="2"/>
        <v>1258870.0000000005</v>
      </c>
      <c r="M33" s="2">
        <f t="shared" si="3"/>
        <v>1440520.0000000005</v>
      </c>
      <c r="N33" s="2">
        <f t="shared" si="4"/>
        <v>803589.99999999953</v>
      </c>
      <c r="O33" s="2">
        <f t="shared" si="5"/>
        <v>1719099.9999999998</v>
      </c>
      <c r="P33" s="2">
        <f t="shared" si="6"/>
        <v>229638.46332198754</v>
      </c>
      <c r="Q33" s="3">
        <f t="shared" si="7"/>
        <v>4341790895.6164417</v>
      </c>
      <c r="R33" s="3">
        <f t="shared" si="8"/>
        <v>396442883945.20551</v>
      </c>
      <c r="S33" s="3">
        <f t="shared" si="9"/>
        <v>4341790895.6164417</v>
      </c>
      <c r="T33" s="3">
        <f t="shared" si="10"/>
        <v>5685199644.93151</v>
      </c>
      <c r="U33" s="3">
        <f t="shared" si="11"/>
        <v>1769196953.6986282</v>
      </c>
      <c r="V33" s="3">
        <f t="shared" si="12"/>
        <v>8096725506.8493128</v>
      </c>
      <c r="W33" s="3">
        <f t="shared" si="13"/>
        <v>144476229.69009265</v>
      </c>
      <c r="X33" s="3">
        <f t="shared" si="14"/>
        <v>52733823836.88382</v>
      </c>
      <c r="Y33" s="3">
        <f t="shared" si="15"/>
        <v>20748599058765.246</v>
      </c>
      <c r="AK33">
        <v>2.9194100000000001</v>
      </c>
      <c r="AL33">
        <v>1000000</v>
      </c>
      <c r="AM33">
        <f t="shared" si="16"/>
        <v>2919410</v>
      </c>
      <c r="AN33">
        <v>2.0038999999999998</v>
      </c>
      <c r="AO33">
        <v>1000000</v>
      </c>
      <c r="AP33">
        <f t="shared" si="17"/>
        <v>2003899.9999999998</v>
      </c>
    </row>
    <row r="34" spans="1:42" x14ac:dyDescent="0.4">
      <c r="A34">
        <v>23</v>
      </c>
      <c r="B34" s="2">
        <v>5231050</v>
      </c>
      <c r="C34" s="2">
        <v>10080700</v>
      </c>
      <c r="D34" s="2">
        <f>IF(B34&lt;2500000,2500000,B34)</f>
        <v>5231050</v>
      </c>
      <c r="E34" s="2">
        <v>5400290</v>
      </c>
      <c r="F34" s="2">
        <v>2867170</v>
      </c>
      <c r="G34" s="2">
        <v>6452040</v>
      </c>
      <c r="H34" s="2">
        <v>3029370.567366438</v>
      </c>
      <c r="I34" s="2">
        <f>33.28*(100000)</f>
        <v>3328000</v>
      </c>
      <c r="J34" s="2">
        <f t="shared" si="0"/>
        <v>1903050</v>
      </c>
      <c r="K34" s="2">
        <f t="shared" si="1"/>
        <v>6752700</v>
      </c>
      <c r="L34" s="2">
        <f t="shared" si="2"/>
        <v>1903050</v>
      </c>
      <c r="M34" s="2">
        <f t="shared" si="3"/>
        <v>2072290</v>
      </c>
      <c r="N34" s="2">
        <f t="shared" si="4"/>
        <v>460830</v>
      </c>
      <c r="O34" s="2">
        <f t="shared" si="5"/>
        <v>3124040</v>
      </c>
      <c r="P34" s="2">
        <f t="shared" si="6"/>
        <v>298629.43263356201</v>
      </c>
      <c r="Q34" s="3">
        <f t="shared" si="7"/>
        <v>9922189869.8630142</v>
      </c>
      <c r="R34" s="3">
        <f t="shared" si="8"/>
        <v>124928650109.58904</v>
      </c>
      <c r="S34" s="3">
        <f t="shared" si="9"/>
        <v>9922189869.8630142</v>
      </c>
      <c r="T34" s="3">
        <f t="shared" si="10"/>
        <v>11765440668.767124</v>
      </c>
      <c r="U34" s="3">
        <f t="shared" si="11"/>
        <v>581819969.58904111</v>
      </c>
      <c r="V34" s="3">
        <f t="shared" si="12"/>
        <v>26738701155.068493</v>
      </c>
      <c r="W34" s="3">
        <f t="shared" si="13"/>
        <v>244327501.46587166</v>
      </c>
      <c r="X34" s="3">
        <f t="shared" si="14"/>
        <v>89179538035.043152</v>
      </c>
      <c r="Y34" s="3">
        <f t="shared" si="15"/>
        <v>24503123839587.164</v>
      </c>
      <c r="AK34">
        <v>2.8671700000000002</v>
      </c>
      <c r="AL34">
        <v>1000000</v>
      </c>
      <c r="AM34">
        <f t="shared" si="16"/>
        <v>2867170</v>
      </c>
      <c r="AN34">
        <v>6.4520400000000002</v>
      </c>
      <c r="AO34">
        <v>1000000</v>
      </c>
      <c r="AP34">
        <f t="shared" si="17"/>
        <v>6452040</v>
      </c>
    </row>
    <row r="35" spans="1:42" x14ac:dyDescent="0.4">
      <c r="A35">
        <v>24</v>
      </c>
      <c r="B35" s="2">
        <v>9482370</v>
      </c>
      <c r="C35" s="2">
        <v>6651850</v>
      </c>
      <c r="D35" s="2">
        <f>IF(B35&lt;2500000,2500000,B35)</f>
        <v>9482370</v>
      </c>
      <c r="E35" s="2">
        <v>9484040</v>
      </c>
      <c r="F35" s="2">
        <v>2675710</v>
      </c>
      <c r="G35" s="2">
        <v>1830460</v>
      </c>
      <c r="H35" s="2">
        <v>2983961.909847707</v>
      </c>
      <c r="I35" s="2">
        <f>31.45*(100000)</f>
        <v>3145000</v>
      </c>
      <c r="J35" s="2">
        <f t="shared" si="0"/>
        <v>6337370</v>
      </c>
      <c r="K35" s="2">
        <f t="shared" si="1"/>
        <v>3506850</v>
      </c>
      <c r="L35" s="2">
        <f t="shared" si="2"/>
        <v>6337370</v>
      </c>
      <c r="M35" s="2">
        <f t="shared" si="3"/>
        <v>6339040</v>
      </c>
      <c r="N35" s="2">
        <f t="shared" si="4"/>
        <v>469290</v>
      </c>
      <c r="O35" s="2">
        <f t="shared" si="5"/>
        <v>1314540</v>
      </c>
      <c r="P35" s="2">
        <f t="shared" si="6"/>
        <v>161038.09015229298</v>
      </c>
      <c r="Q35" s="3">
        <f t="shared" si="7"/>
        <v>110033584977.80821</v>
      </c>
      <c r="R35" s="3">
        <f t="shared" si="8"/>
        <v>33693142253.424656</v>
      </c>
      <c r="S35" s="3">
        <f t="shared" si="9"/>
        <v>110033584977.80821</v>
      </c>
      <c r="T35" s="3">
        <f t="shared" si="10"/>
        <v>110091583894.79453</v>
      </c>
      <c r="U35" s="3">
        <f t="shared" si="11"/>
        <v>603378367.39726031</v>
      </c>
      <c r="V35" s="3">
        <f t="shared" si="12"/>
        <v>4734288798.90411</v>
      </c>
      <c r="W35" s="3">
        <f t="shared" si="13"/>
        <v>71050045.150405586</v>
      </c>
      <c r="X35" s="3">
        <f t="shared" si="14"/>
        <v>25933266479.898041</v>
      </c>
      <c r="Y35" s="3">
        <f t="shared" si="15"/>
        <v>26348335902600.863</v>
      </c>
      <c r="AK35">
        <v>2.67571</v>
      </c>
      <c r="AL35">
        <v>1000000</v>
      </c>
      <c r="AM35">
        <f t="shared" si="16"/>
        <v>2675710</v>
      </c>
      <c r="AN35">
        <v>1.83046</v>
      </c>
      <c r="AO35">
        <v>1000000</v>
      </c>
      <c r="AP35">
        <f t="shared" si="17"/>
        <v>1830460</v>
      </c>
    </row>
    <row r="36" spans="1:42" x14ac:dyDescent="0.4">
      <c r="A36">
        <v>25</v>
      </c>
      <c r="B36" s="2">
        <v>3698500</v>
      </c>
      <c r="C36" s="2">
        <v>2536130</v>
      </c>
      <c r="D36" s="2">
        <f>IF(B36&lt;2500000,2500000,B36)</f>
        <v>3698500</v>
      </c>
      <c r="E36" s="2">
        <v>3736250</v>
      </c>
      <c r="F36" s="2">
        <v>2318220</v>
      </c>
      <c r="G36" s="2">
        <v>1597280</v>
      </c>
      <c r="H36" s="2">
        <v>2818329.2949821111</v>
      </c>
      <c r="I36" s="2">
        <f>30.91*(100000)</f>
        <v>3091000</v>
      </c>
      <c r="J36" s="2">
        <f t="shared" si="0"/>
        <v>607500</v>
      </c>
      <c r="K36" s="2">
        <f t="shared" si="1"/>
        <v>554870</v>
      </c>
      <c r="L36" s="2">
        <f t="shared" si="2"/>
        <v>607500</v>
      </c>
      <c r="M36" s="2">
        <f t="shared" si="3"/>
        <v>645250</v>
      </c>
      <c r="N36" s="2">
        <f t="shared" si="4"/>
        <v>772780</v>
      </c>
      <c r="O36" s="2">
        <f t="shared" si="5"/>
        <v>1493720</v>
      </c>
      <c r="P36" s="2">
        <f t="shared" si="6"/>
        <v>272670.70501788892</v>
      </c>
      <c r="Q36" s="3">
        <f t="shared" si="7"/>
        <v>1011113013.6986301</v>
      </c>
      <c r="R36" s="3">
        <f t="shared" si="8"/>
        <v>843508813.42465758</v>
      </c>
      <c r="S36" s="3">
        <f t="shared" si="9"/>
        <v>1011113013.6986301</v>
      </c>
      <c r="T36" s="3">
        <f t="shared" si="10"/>
        <v>1140678253.4246576</v>
      </c>
      <c r="U36" s="3">
        <f t="shared" si="11"/>
        <v>1636134050.410959</v>
      </c>
      <c r="V36" s="3">
        <f t="shared" si="12"/>
        <v>6112875173.6986303</v>
      </c>
      <c r="W36" s="3">
        <f t="shared" si="13"/>
        <v>203696748.97247285</v>
      </c>
      <c r="X36" s="3">
        <f t="shared" si="14"/>
        <v>74349313374.952591</v>
      </c>
      <c r="Y36" s="3">
        <f t="shared" si="15"/>
        <v>26905622708080.313</v>
      </c>
      <c r="AK36">
        <v>2.3182200000000002</v>
      </c>
      <c r="AL36">
        <v>1000000</v>
      </c>
      <c r="AM36">
        <f t="shared" si="16"/>
        <v>2318220</v>
      </c>
      <c r="AN36">
        <v>1.59728</v>
      </c>
      <c r="AO36">
        <v>1000000</v>
      </c>
      <c r="AP36">
        <f t="shared" si="17"/>
        <v>1597280</v>
      </c>
    </row>
    <row r="37" spans="1:42" x14ac:dyDescent="0.4">
      <c r="A37">
        <v>26</v>
      </c>
      <c r="B37" s="2">
        <v>2568240</v>
      </c>
      <c r="C37" s="2">
        <v>1151550</v>
      </c>
      <c r="D37" s="2">
        <f>IF(B37&lt;2500000,2500000,B37)</f>
        <v>2568240</v>
      </c>
      <c r="E37" s="2">
        <v>2548180</v>
      </c>
      <c r="F37" s="2">
        <v>2037259.9999999998</v>
      </c>
      <c r="G37" s="2">
        <v>1423490</v>
      </c>
      <c r="H37" s="2">
        <v>2728417.584706916</v>
      </c>
      <c r="I37" s="2">
        <f>31.66*(100000)</f>
        <v>3166000</v>
      </c>
      <c r="J37" s="2">
        <f t="shared" si="0"/>
        <v>597760</v>
      </c>
      <c r="K37" s="2">
        <f t="shared" si="1"/>
        <v>2014450</v>
      </c>
      <c r="L37" s="2">
        <f t="shared" si="2"/>
        <v>597760</v>
      </c>
      <c r="M37" s="2">
        <f t="shared" si="3"/>
        <v>617820</v>
      </c>
      <c r="N37" s="2">
        <f t="shared" si="4"/>
        <v>1128740.0000000002</v>
      </c>
      <c r="O37" s="2">
        <f t="shared" si="5"/>
        <v>1742510</v>
      </c>
      <c r="P37" s="2">
        <f t="shared" si="6"/>
        <v>437582.41529308399</v>
      </c>
      <c r="Q37" s="3">
        <f t="shared" si="7"/>
        <v>978950733.15068495</v>
      </c>
      <c r="R37" s="3">
        <f t="shared" si="8"/>
        <v>11117832335.616438</v>
      </c>
      <c r="S37" s="3">
        <f t="shared" si="9"/>
        <v>978950733.15068495</v>
      </c>
      <c r="T37" s="3">
        <f t="shared" si="10"/>
        <v>1045757677.8082192</v>
      </c>
      <c r="U37" s="3">
        <f t="shared" si="11"/>
        <v>3490558870.1369877</v>
      </c>
      <c r="V37" s="3">
        <f t="shared" si="12"/>
        <v>8318742740</v>
      </c>
      <c r="W37" s="3">
        <f t="shared" si="13"/>
        <v>524598274.4485727</v>
      </c>
      <c r="X37" s="3">
        <f t="shared" si="14"/>
        <v>191478370173.72903</v>
      </c>
      <c r="Y37" s="3">
        <f t="shared" si="15"/>
        <v>26133188256025.52</v>
      </c>
      <c r="AK37">
        <v>2.0372599999999998</v>
      </c>
      <c r="AL37">
        <v>1000000</v>
      </c>
      <c r="AM37">
        <f t="shared" si="16"/>
        <v>2037259.9999999998</v>
      </c>
      <c r="AN37">
        <v>1.4234899999999999</v>
      </c>
      <c r="AO37">
        <v>1000000</v>
      </c>
      <c r="AP37">
        <f t="shared" si="17"/>
        <v>1423490</v>
      </c>
    </row>
    <row r="38" spans="1:42" x14ac:dyDescent="0.4">
      <c r="A38">
        <v>27</v>
      </c>
      <c r="B38" s="2">
        <v>6302420</v>
      </c>
      <c r="C38" s="2">
        <v>540196</v>
      </c>
      <c r="D38" s="2">
        <f>IF(B38&lt;2500000,2500000,B38)</f>
        <v>6302420</v>
      </c>
      <c r="E38" s="2">
        <v>1730390</v>
      </c>
      <c r="F38" s="2">
        <v>1798450</v>
      </c>
      <c r="G38" s="2">
        <v>1277380</v>
      </c>
      <c r="H38" s="2">
        <v>2650493.1999282292</v>
      </c>
      <c r="I38" s="2">
        <f>31.94*(100000)</f>
        <v>3194000</v>
      </c>
      <c r="J38" s="2">
        <f t="shared" si="0"/>
        <v>3108420</v>
      </c>
      <c r="K38" s="2">
        <f t="shared" si="1"/>
        <v>2653804</v>
      </c>
      <c r="L38" s="2">
        <f t="shared" si="2"/>
        <v>3108420</v>
      </c>
      <c r="M38" s="2">
        <f t="shared" si="3"/>
        <v>1463610</v>
      </c>
      <c r="N38" s="2">
        <f t="shared" si="4"/>
        <v>1395550</v>
      </c>
      <c r="O38" s="2">
        <f t="shared" si="5"/>
        <v>1916620</v>
      </c>
      <c r="P38" s="2">
        <f t="shared" si="6"/>
        <v>543506.80007177079</v>
      </c>
      <c r="Q38" s="3">
        <f t="shared" si="7"/>
        <v>26471986017.534248</v>
      </c>
      <c r="R38" s="3">
        <f t="shared" si="8"/>
        <v>19295001836.756165</v>
      </c>
      <c r="S38" s="3">
        <f t="shared" si="9"/>
        <v>26471986017.534248</v>
      </c>
      <c r="T38" s="3">
        <f t="shared" si="10"/>
        <v>5868915704.3835621</v>
      </c>
      <c r="U38" s="3">
        <f t="shared" si="11"/>
        <v>5335780280.8219175</v>
      </c>
      <c r="V38" s="3">
        <f t="shared" si="12"/>
        <v>10064197875.068493</v>
      </c>
      <c r="W38" s="3">
        <f t="shared" si="13"/>
        <v>809314086.91576934</v>
      </c>
      <c r="X38" s="3">
        <f t="shared" si="14"/>
        <v>295399641724.2558</v>
      </c>
      <c r="Y38" s="3">
        <f t="shared" si="15"/>
        <v>25847696727258.395</v>
      </c>
      <c r="AK38">
        <v>1.7984500000000001</v>
      </c>
      <c r="AL38">
        <v>1000000</v>
      </c>
      <c r="AM38">
        <f t="shared" si="16"/>
        <v>1798450</v>
      </c>
      <c r="AN38">
        <v>1.27738</v>
      </c>
      <c r="AO38">
        <v>1000000</v>
      </c>
      <c r="AP38">
        <f t="shared" si="17"/>
        <v>1277380</v>
      </c>
    </row>
    <row r="39" spans="1:42" x14ac:dyDescent="0.4">
      <c r="A39">
        <v>28</v>
      </c>
      <c r="B39" s="2">
        <v>1383410</v>
      </c>
      <c r="C39" s="2">
        <v>257323</v>
      </c>
      <c r="D39" s="2">
        <f>IF(B39&lt;2500000,2500000,B39)</f>
        <v>2500000</v>
      </c>
      <c r="E39" s="2">
        <v>1300970</v>
      </c>
      <c r="F39" s="2">
        <v>1591310</v>
      </c>
      <c r="G39" s="2">
        <v>1150430</v>
      </c>
      <c r="H39" s="2">
        <v>2597399.7393530719</v>
      </c>
      <c r="I39" s="2">
        <f>31.43*(100000)</f>
        <v>3143000</v>
      </c>
      <c r="J39" s="2">
        <f t="shared" si="0"/>
        <v>1759590</v>
      </c>
      <c r="K39" s="2">
        <f t="shared" si="1"/>
        <v>2885677</v>
      </c>
      <c r="L39" s="2">
        <f t="shared" si="2"/>
        <v>643000</v>
      </c>
      <c r="M39" s="2">
        <f t="shared" si="3"/>
        <v>1842030</v>
      </c>
      <c r="N39" s="2">
        <f t="shared" si="4"/>
        <v>1551690</v>
      </c>
      <c r="O39" s="2">
        <f t="shared" si="5"/>
        <v>1992570</v>
      </c>
      <c r="P39" s="2">
        <f t="shared" si="6"/>
        <v>545600.2606469281</v>
      </c>
      <c r="Q39" s="3">
        <f t="shared" si="7"/>
        <v>8482621830.4109592</v>
      </c>
      <c r="R39" s="3">
        <f t="shared" si="8"/>
        <v>22814059584.463013</v>
      </c>
      <c r="S39" s="3">
        <f t="shared" si="9"/>
        <v>1132736986.3013699</v>
      </c>
      <c r="T39" s="3">
        <f t="shared" si="10"/>
        <v>9296094577.8082199</v>
      </c>
      <c r="U39" s="3">
        <f t="shared" si="11"/>
        <v>6596553030.4109592</v>
      </c>
      <c r="V39" s="3">
        <f t="shared" si="12"/>
        <v>10877630698.356165</v>
      </c>
      <c r="W39" s="3">
        <f t="shared" si="13"/>
        <v>815560669.638345</v>
      </c>
      <c r="X39" s="3">
        <f t="shared" si="14"/>
        <v>297679644417.99591</v>
      </c>
      <c r="Y39" s="3">
        <f t="shared" si="15"/>
        <v>26368872154655.656</v>
      </c>
      <c r="AK39">
        <v>1.59131</v>
      </c>
      <c r="AL39">
        <v>1000000</v>
      </c>
      <c r="AM39">
        <f t="shared" si="16"/>
        <v>1591310</v>
      </c>
      <c r="AN39">
        <v>1.1504300000000001</v>
      </c>
      <c r="AO39">
        <v>1000000</v>
      </c>
      <c r="AP39">
        <f t="shared" si="17"/>
        <v>1150430</v>
      </c>
    </row>
    <row r="40" spans="1:42" x14ac:dyDescent="0.4">
      <c r="A40">
        <v>29</v>
      </c>
      <c r="B40" s="2">
        <v>1119560</v>
      </c>
      <c r="C40" s="2">
        <v>124934</v>
      </c>
      <c r="D40" s="2">
        <f>IF(B40&lt;2500000,2500000,B40)</f>
        <v>2500000</v>
      </c>
      <c r="E40" s="2">
        <v>5517870</v>
      </c>
      <c r="F40" s="2">
        <v>1410360</v>
      </c>
      <c r="G40" s="2">
        <v>5495710</v>
      </c>
      <c r="H40" s="2">
        <v>2560919.0622440502</v>
      </c>
      <c r="I40" s="2">
        <f>32.36*(100000)</f>
        <v>3236000</v>
      </c>
      <c r="J40" s="2">
        <f t="shared" si="0"/>
        <v>2116440</v>
      </c>
      <c r="K40" s="2">
        <f t="shared" si="1"/>
        <v>3111066</v>
      </c>
      <c r="L40" s="2">
        <f t="shared" si="2"/>
        <v>736000</v>
      </c>
      <c r="M40" s="2">
        <f t="shared" si="3"/>
        <v>2281870</v>
      </c>
      <c r="N40" s="2">
        <f t="shared" si="4"/>
        <v>1825640</v>
      </c>
      <c r="O40" s="2">
        <f t="shared" si="5"/>
        <v>2259710</v>
      </c>
      <c r="P40" s="2">
        <f t="shared" si="6"/>
        <v>675080.9377559498</v>
      </c>
      <c r="Q40" s="3">
        <f t="shared" si="7"/>
        <v>12272104859.178082</v>
      </c>
      <c r="R40" s="3">
        <f t="shared" si="8"/>
        <v>26517073031.112328</v>
      </c>
      <c r="S40" s="3">
        <f t="shared" si="9"/>
        <v>1484098630.1369863</v>
      </c>
      <c r="T40" s="3">
        <f t="shared" si="10"/>
        <v>14265563553.150684</v>
      </c>
      <c r="U40" s="3">
        <f t="shared" si="11"/>
        <v>9131401122.1917801</v>
      </c>
      <c r="V40" s="3">
        <f t="shared" si="12"/>
        <v>13989833655.068493</v>
      </c>
      <c r="W40" s="3">
        <f t="shared" si="13"/>
        <v>1248587048.0039797</v>
      </c>
      <c r="X40" s="3">
        <f t="shared" si="14"/>
        <v>455734272521.45258</v>
      </c>
      <c r="Y40" s="3">
        <f t="shared" si="15"/>
        <v>25422399434107.711</v>
      </c>
      <c r="AK40">
        <v>1.4103600000000001</v>
      </c>
      <c r="AL40">
        <v>1000000</v>
      </c>
      <c r="AM40">
        <f t="shared" si="16"/>
        <v>1410360</v>
      </c>
      <c r="AN40">
        <v>5.4957099999999999</v>
      </c>
      <c r="AO40">
        <v>1000000</v>
      </c>
      <c r="AP40">
        <f t="shared" si="17"/>
        <v>5495710</v>
      </c>
    </row>
    <row r="41" spans="1:42" x14ac:dyDescent="0.4">
      <c r="A41">
        <v>30</v>
      </c>
      <c r="B41" s="2">
        <v>1227650</v>
      </c>
      <c r="C41" s="2">
        <v>1549090</v>
      </c>
      <c r="D41" s="2">
        <f>IF(B41&lt;2500000,2500000,B41)</f>
        <v>2500000</v>
      </c>
      <c r="E41" s="2">
        <v>1150710</v>
      </c>
      <c r="F41" s="2">
        <v>1357170</v>
      </c>
      <c r="G41" s="2">
        <v>1010180.0000000001</v>
      </c>
      <c r="H41" s="2">
        <v>2603654.0645950232</v>
      </c>
      <c r="I41" s="2">
        <f>32.02*(100000)</f>
        <v>3202000.0000000005</v>
      </c>
      <c r="J41" s="2">
        <f t="shared" si="0"/>
        <v>1974350.0000000005</v>
      </c>
      <c r="K41" s="2">
        <f t="shared" si="1"/>
        <v>1652910.0000000005</v>
      </c>
      <c r="L41" s="2">
        <f t="shared" si="2"/>
        <v>702000.00000000047</v>
      </c>
      <c r="M41" s="2">
        <f t="shared" si="3"/>
        <v>2051290.0000000005</v>
      </c>
      <c r="N41" s="2">
        <f t="shared" si="4"/>
        <v>1844830.0000000005</v>
      </c>
      <c r="O41" s="2">
        <f t="shared" si="5"/>
        <v>2191820.0000000005</v>
      </c>
      <c r="P41" s="2">
        <f t="shared" si="6"/>
        <v>598345.9354049773</v>
      </c>
      <c r="Q41" s="3">
        <f t="shared" si="7"/>
        <v>10679610746.575348</v>
      </c>
      <c r="R41" s="3">
        <f t="shared" si="8"/>
        <v>7485236898.9041138</v>
      </c>
      <c r="S41" s="3">
        <f t="shared" si="9"/>
        <v>1350147945.2054813</v>
      </c>
      <c r="T41" s="3">
        <f t="shared" si="10"/>
        <v>11528193600.273977</v>
      </c>
      <c r="U41" s="3">
        <f t="shared" si="11"/>
        <v>9324377339.4520607</v>
      </c>
      <c r="V41" s="3">
        <f t="shared" si="12"/>
        <v>13161849075.068499</v>
      </c>
      <c r="W41" s="3">
        <f t="shared" si="13"/>
        <v>980870844.9744035</v>
      </c>
      <c r="X41" s="3">
        <f t="shared" si="14"/>
        <v>358017858415.65729</v>
      </c>
      <c r="Y41" s="3">
        <f t="shared" si="15"/>
        <v>25766415719039.219</v>
      </c>
      <c r="AK41">
        <v>1.35717</v>
      </c>
      <c r="AL41">
        <v>1000000</v>
      </c>
      <c r="AM41">
        <f t="shared" si="16"/>
        <v>1357170</v>
      </c>
      <c r="AN41">
        <v>1.0101800000000001</v>
      </c>
      <c r="AO41">
        <v>1000000</v>
      </c>
      <c r="AP41">
        <f t="shared" si="17"/>
        <v>1010180.0000000001</v>
      </c>
    </row>
    <row r="42" spans="1:42" x14ac:dyDescent="0.4">
      <c r="A42">
        <v>31</v>
      </c>
      <c r="B42" s="2">
        <v>1016489.9999999999</v>
      </c>
      <c r="C42" s="2">
        <v>472842</v>
      </c>
      <c r="D42" s="2">
        <f>IF(B42&lt;2500000,2500000,B42)</f>
        <v>2500000</v>
      </c>
      <c r="E42" s="2">
        <v>930512</v>
      </c>
      <c r="F42" s="2">
        <v>1188890</v>
      </c>
      <c r="G42" s="2">
        <v>898862</v>
      </c>
      <c r="H42" s="2">
        <v>2514304.4191700839</v>
      </c>
      <c r="I42" s="2">
        <f>32.26*(100000)</f>
        <v>3226000</v>
      </c>
      <c r="J42" s="2">
        <f t="shared" si="0"/>
        <v>2209510</v>
      </c>
      <c r="K42" s="2">
        <f t="shared" si="1"/>
        <v>2753158</v>
      </c>
      <c r="L42" s="2">
        <f t="shared" si="2"/>
        <v>726000</v>
      </c>
      <c r="M42" s="2">
        <f t="shared" si="3"/>
        <v>2295488</v>
      </c>
      <c r="N42" s="2">
        <f t="shared" si="4"/>
        <v>2037110</v>
      </c>
      <c r="O42" s="2">
        <f t="shared" si="5"/>
        <v>2327138</v>
      </c>
      <c r="P42" s="2">
        <f t="shared" si="6"/>
        <v>711695.58082991606</v>
      </c>
      <c r="Q42" s="3">
        <f t="shared" si="7"/>
        <v>13375162849.589041</v>
      </c>
      <c r="R42" s="3">
        <f t="shared" si="8"/>
        <v>20766791706.750687</v>
      </c>
      <c r="S42" s="3">
        <f t="shared" si="9"/>
        <v>1444043835.6164384</v>
      </c>
      <c r="T42" s="3">
        <f t="shared" si="10"/>
        <v>14436342899.024658</v>
      </c>
      <c r="U42" s="3">
        <f t="shared" si="11"/>
        <v>11369362060.547945</v>
      </c>
      <c r="V42" s="3">
        <f t="shared" si="12"/>
        <v>14837181564.50411</v>
      </c>
      <c r="W42" s="3">
        <f t="shared" si="13"/>
        <v>1387700273.3502235</v>
      </c>
      <c r="X42" s="3">
        <f t="shared" si="14"/>
        <v>506510599772.8316</v>
      </c>
      <c r="Y42" s="3">
        <f t="shared" si="15"/>
        <v>25523340694381.684</v>
      </c>
      <c r="AK42">
        <v>1.18889</v>
      </c>
      <c r="AL42">
        <v>1000000</v>
      </c>
      <c r="AM42">
        <f t="shared" si="16"/>
        <v>1188890</v>
      </c>
      <c r="AN42">
        <v>898862</v>
      </c>
      <c r="AP42">
        <f t="shared" si="17"/>
        <v>898862</v>
      </c>
    </row>
    <row r="43" spans="1:42" x14ac:dyDescent="0.4">
      <c r="A43">
        <v>32</v>
      </c>
      <c r="B43" s="2">
        <v>766502</v>
      </c>
      <c r="C43" s="2">
        <v>204261</v>
      </c>
      <c r="D43" s="2">
        <f>IF(B43&lt;2500000,2500000,B43)</f>
        <v>2500000</v>
      </c>
      <c r="E43" s="2">
        <v>677358</v>
      </c>
      <c r="F43" s="2">
        <v>1050670</v>
      </c>
      <c r="G43" s="2">
        <v>809102</v>
      </c>
      <c r="H43" s="2">
        <v>2507150.5186022292</v>
      </c>
      <c r="I43" s="2">
        <f>32.92*(100000)</f>
        <v>3292000</v>
      </c>
      <c r="J43" s="2">
        <f t="shared" si="0"/>
        <v>2525498</v>
      </c>
      <c r="K43" s="2">
        <f t="shared" si="1"/>
        <v>3087739</v>
      </c>
      <c r="L43" s="2">
        <f t="shared" si="2"/>
        <v>792000</v>
      </c>
      <c r="M43" s="2">
        <f t="shared" si="3"/>
        <v>2614642</v>
      </c>
      <c r="N43" s="2">
        <f t="shared" si="4"/>
        <v>2241330</v>
      </c>
      <c r="O43" s="2">
        <f t="shared" si="5"/>
        <v>2482898</v>
      </c>
      <c r="P43" s="2">
        <f t="shared" si="6"/>
        <v>784849.48139777081</v>
      </c>
      <c r="Q43" s="3">
        <f t="shared" si="7"/>
        <v>17474356569.873974</v>
      </c>
      <c r="R43" s="3">
        <f t="shared" si="8"/>
        <v>26120909951.016438</v>
      </c>
      <c r="S43" s="3">
        <f t="shared" si="9"/>
        <v>1718531506.8493152</v>
      </c>
      <c r="T43" s="3">
        <f t="shared" si="10"/>
        <v>18729733666.20274</v>
      </c>
      <c r="U43" s="3">
        <f t="shared" si="11"/>
        <v>13763178544.931507</v>
      </c>
      <c r="V43" s="3">
        <f t="shared" si="12"/>
        <v>16889815009.326027</v>
      </c>
      <c r="W43" s="3">
        <f t="shared" si="13"/>
        <v>1687640297.1242459</v>
      </c>
      <c r="X43" s="3">
        <f t="shared" si="14"/>
        <v>615988708450.34973</v>
      </c>
      <c r="Y43" s="3">
        <f t="shared" si="15"/>
        <v>24860824376573.465</v>
      </c>
      <c r="AK43">
        <v>1.05067</v>
      </c>
      <c r="AL43">
        <v>1000000</v>
      </c>
      <c r="AM43">
        <f t="shared" si="16"/>
        <v>1050670</v>
      </c>
      <c r="AN43">
        <v>809102</v>
      </c>
      <c r="AP43">
        <f t="shared" si="17"/>
        <v>809102</v>
      </c>
    </row>
    <row r="44" spans="1:42" x14ac:dyDescent="0.4">
      <c r="A44">
        <v>33</v>
      </c>
      <c r="B44" s="2">
        <v>613020</v>
      </c>
      <c r="C44" s="2">
        <v>91858.6</v>
      </c>
      <c r="D44" s="2">
        <f>IF(B44&lt;2500000,2500000,B44)</f>
        <v>2500000</v>
      </c>
      <c r="E44" s="2">
        <v>524634</v>
      </c>
      <c r="F44" s="2">
        <v>929876</v>
      </c>
      <c r="G44" s="2">
        <v>729735</v>
      </c>
      <c r="H44" s="2">
        <v>2500000</v>
      </c>
      <c r="I44" s="2">
        <f>33.29*(100000)</f>
        <v>3329000</v>
      </c>
      <c r="J44" s="2">
        <f t="shared" si="0"/>
        <v>2715980</v>
      </c>
      <c r="K44" s="2">
        <f t="shared" si="1"/>
        <v>3237141.4</v>
      </c>
      <c r="L44" s="2">
        <f t="shared" si="2"/>
        <v>829000</v>
      </c>
      <c r="M44" s="2">
        <f t="shared" si="3"/>
        <v>2804366</v>
      </c>
      <c r="N44" s="2">
        <f t="shared" si="4"/>
        <v>2399124</v>
      </c>
      <c r="O44" s="2">
        <f t="shared" si="5"/>
        <v>2599265</v>
      </c>
      <c r="P44" s="2">
        <f t="shared" si="6"/>
        <v>829000</v>
      </c>
      <c r="Q44" s="3">
        <f t="shared" si="7"/>
        <v>20209718795.61644</v>
      </c>
      <c r="R44" s="3">
        <f t="shared" si="8"/>
        <v>28709820393.408108</v>
      </c>
      <c r="S44" s="3">
        <f t="shared" si="9"/>
        <v>1882852054.7945206</v>
      </c>
      <c r="T44" s="3">
        <f t="shared" si="10"/>
        <v>21546489484.810959</v>
      </c>
      <c r="U44" s="3">
        <f t="shared" si="11"/>
        <v>15769304020.20822</v>
      </c>
      <c r="V44" s="3">
        <f t="shared" si="12"/>
        <v>18510078192.397259</v>
      </c>
      <c r="W44" s="3">
        <f t="shared" si="13"/>
        <v>1882852054.7945206</v>
      </c>
      <c r="X44" s="3">
        <f t="shared" si="14"/>
        <v>687241000000</v>
      </c>
      <c r="Y44" s="3">
        <f t="shared" si="15"/>
        <v>24493224713559.766</v>
      </c>
      <c r="AK44">
        <v>929876</v>
      </c>
      <c r="AM44">
        <f t="shared" si="16"/>
        <v>929876</v>
      </c>
      <c r="AN44">
        <v>729735</v>
      </c>
      <c r="AP44">
        <f t="shared" si="17"/>
        <v>729735</v>
      </c>
    </row>
    <row r="45" spans="1:42" x14ac:dyDescent="0.4">
      <c r="A45">
        <v>34</v>
      </c>
      <c r="B45" s="2">
        <v>4967890</v>
      </c>
      <c r="C45" s="2">
        <v>42541.9</v>
      </c>
      <c r="D45" s="2">
        <f>IF(B45&lt;2500000,2500000,B45)</f>
        <v>4967890</v>
      </c>
      <c r="E45" s="2">
        <v>417441</v>
      </c>
      <c r="F45" s="2">
        <v>824196</v>
      </c>
      <c r="G45" s="2">
        <v>659198</v>
      </c>
      <c r="H45" s="2">
        <v>2500000</v>
      </c>
      <c r="I45" s="2">
        <f>33.1*(100000)</f>
        <v>3310000</v>
      </c>
      <c r="J45" s="2">
        <f t="shared" si="0"/>
        <v>1657890</v>
      </c>
      <c r="K45" s="2">
        <f t="shared" si="1"/>
        <v>3267458.1</v>
      </c>
      <c r="L45" s="2">
        <f t="shared" si="2"/>
        <v>1657890</v>
      </c>
      <c r="M45" s="2">
        <f t="shared" si="3"/>
        <v>2892559</v>
      </c>
      <c r="N45" s="2">
        <f t="shared" si="4"/>
        <v>2485804</v>
      </c>
      <c r="O45" s="2">
        <f t="shared" si="5"/>
        <v>2650802</v>
      </c>
      <c r="P45" s="2">
        <f t="shared" si="6"/>
        <v>810000</v>
      </c>
      <c r="Q45" s="3">
        <f t="shared" si="7"/>
        <v>7530408909.8630133</v>
      </c>
      <c r="R45" s="3">
        <f t="shared" si="8"/>
        <v>29250088863.714005</v>
      </c>
      <c r="S45" s="3">
        <f t="shared" si="9"/>
        <v>7530408909.8630133</v>
      </c>
      <c r="T45" s="3">
        <f t="shared" si="10"/>
        <v>22923007036.934246</v>
      </c>
      <c r="U45" s="3">
        <f t="shared" si="11"/>
        <v>16929374044.975342</v>
      </c>
      <c r="V45" s="3">
        <f t="shared" si="12"/>
        <v>19251373269.052055</v>
      </c>
      <c r="W45" s="3">
        <f t="shared" si="13"/>
        <v>1797534246.5753424</v>
      </c>
      <c r="X45" s="3">
        <f t="shared" si="14"/>
        <v>656100000000</v>
      </c>
      <c r="Y45" s="3">
        <f t="shared" si="15"/>
        <v>24681650108080.313</v>
      </c>
      <c r="AK45">
        <v>824196</v>
      </c>
      <c r="AM45">
        <f t="shared" si="16"/>
        <v>824196</v>
      </c>
      <c r="AN45">
        <v>659198</v>
      </c>
      <c r="AP45">
        <f t="shared" si="17"/>
        <v>659198</v>
      </c>
    </row>
    <row r="46" spans="1:42" x14ac:dyDescent="0.4">
      <c r="A46">
        <v>35</v>
      </c>
      <c r="B46" s="2">
        <v>413178</v>
      </c>
      <c r="C46" s="2">
        <v>20104.900000000001</v>
      </c>
      <c r="D46" s="2">
        <f>IF(B46&lt;2500000,2500000,B46)</f>
        <v>2500000</v>
      </c>
      <c r="E46" s="2">
        <v>332920</v>
      </c>
      <c r="F46" s="2">
        <v>728718</v>
      </c>
      <c r="G46" s="2">
        <v>594571</v>
      </c>
      <c r="H46" s="2">
        <v>2500000</v>
      </c>
      <c r="I46" s="2">
        <f>32.73*(100000)</f>
        <v>3272999.9999999995</v>
      </c>
      <c r="J46" s="2">
        <f t="shared" si="0"/>
        <v>2859821.9999999995</v>
      </c>
      <c r="K46" s="2">
        <f t="shared" si="1"/>
        <v>3252895.0999999996</v>
      </c>
      <c r="L46" s="2">
        <f t="shared" si="2"/>
        <v>772999.99999999953</v>
      </c>
      <c r="M46" s="2">
        <f t="shared" si="3"/>
        <v>2940079.9999999995</v>
      </c>
      <c r="N46" s="2">
        <f t="shared" si="4"/>
        <v>2544281.9999999995</v>
      </c>
      <c r="O46" s="2">
        <f t="shared" si="5"/>
        <v>2678428.9999999995</v>
      </c>
      <c r="P46" s="2">
        <f t="shared" si="6"/>
        <v>772999.99999999953</v>
      </c>
      <c r="Q46" s="3">
        <f t="shared" si="7"/>
        <v>22407073621.052048</v>
      </c>
      <c r="R46" s="3">
        <f t="shared" si="8"/>
        <v>28989935703.024677</v>
      </c>
      <c r="S46" s="3">
        <f t="shared" si="9"/>
        <v>1637065753.4246554</v>
      </c>
      <c r="T46" s="3">
        <f t="shared" si="10"/>
        <v>23682384675.068485</v>
      </c>
      <c r="U46" s="3">
        <f t="shared" si="11"/>
        <v>17735262727.463009</v>
      </c>
      <c r="V46" s="3">
        <f t="shared" si="12"/>
        <v>19654744953.53698</v>
      </c>
      <c r="W46" s="3">
        <f t="shared" si="13"/>
        <v>1637065753.4246554</v>
      </c>
      <c r="X46" s="3">
        <f t="shared" si="14"/>
        <v>597528999999.99927</v>
      </c>
      <c r="Y46" s="3">
        <f t="shared" si="15"/>
        <v>25050655771094.012</v>
      </c>
      <c r="AK46">
        <v>728718</v>
      </c>
      <c r="AM46">
        <f t="shared" si="16"/>
        <v>728718</v>
      </c>
      <c r="AN46">
        <v>594571</v>
      </c>
      <c r="AP46">
        <f t="shared" si="17"/>
        <v>594571</v>
      </c>
    </row>
    <row r="47" spans="1:42" x14ac:dyDescent="0.4">
      <c r="A47">
        <v>36</v>
      </c>
      <c r="B47" s="2">
        <v>339857</v>
      </c>
      <c r="C47" s="2">
        <v>9629.2099999999991</v>
      </c>
      <c r="D47" s="2">
        <f>IF(B47&lt;2500000,2500000,B47)</f>
        <v>2500000</v>
      </c>
      <c r="E47" s="2">
        <v>265747</v>
      </c>
      <c r="F47" s="2">
        <v>643539</v>
      </c>
      <c r="G47" s="2">
        <v>535933</v>
      </c>
      <c r="H47" s="2">
        <v>2500000</v>
      </c>
      <c r="I47" s="2">
        <f>32.65*(100000)</f>
        <v>3265000</v>
      </c>
      <c r="J47" s="2">
        <f t="shared" si="0"/>
        <v>2925143</v>
      </c>
      <c r="K47" s="2">
        <f t="shared" si="1"/>
        <v>3255370.79</v>
      </c>
      <c r="L47" s="2">
        <f t="shared" si="2"/>
        <v>765000</v>
      </c>
      <c r="M47" s="2">
        <f t="shared" si="3"/>
        <v>2999253</v>
      </c>
      <c r="N47" s="2">
        <f t="shared" si="4"/>
        <v>2621461</v>
      </c>
      <c r="O47" s="2">
        <f t="shared" si="5"/>
        <v>2729067</v>
      </c>
      <c r="P47" s="2">
        <f t="shared" si="6"/>
        <v>765000</v>
      </c>
      <c r="Q47" s="3">
        <f t="shared" si="7"/>
        <v>23442360466.983562</v>
      </c>
      <c r="R47" s="3">
        <f t="shared" si="8"/>
        <v>29034079398.315685</v>
      </c>
      <c r="S47" s="3">
        <f t="shared" si="9"/>
        <v>1603356164.3835616</v>
      </c>
      <c r="T47" s="3">
        <f t="shared" si="10"/>
        <v>24645256323.312328</v>
      </c>
      <c r="U47" s="3">
        <f t="shared" si="11"/>
        <v>18827555546.632877</v>
      </c>
      <c r="V47" s="3">
        <f t="shared" si="12"/>
        <v>20404949836.956165</v>
      </c>
      <c r="W47" s="3">
        <f t="shared" si="13"/>
        <v>1603356164.3835616</v>
      </c>
      <c r="X47" s="3">
        <f t="shared" si="14"/>
        <v>585225000000</v>
      </c>
      <c r="Y47" s="3">
        <f t="shared" si="15"/>
        <v>25130800779313.191</v>
      </c>
      <c r="AK47">
        <v>643539</v>
      </c>
      <c r="AM47">
        <f t="shared" si="16"/>
        <v>643539</v>
      </c>
      <c r="AN47">
        <v>535933</v>
      </c>
      <c r="AP47">
        <f t="shared" si="17"/>
        <v>535933</v>
      </c>
    </row>
    <row r="48" spans="1:42" x14ac:dyDescent="0.4">
      <c r="A48">
        <v>37</v>
      </c>
      <c r="B48" s="2">
        <v>1515230</v>
      </c>
      <c r="C48" s="2">
        <v>5959820</v>
      </c>
      <c r="D48" s="2">
        <f>IF(B48&lt;2500000,2500000,B48)</f>
        <v>2500000</v>
      </c>
      <c r="E48" s="2">
        <v>1549720</v>
      </c>
      <c r="F48" s="2">
        <v>1006200</v>
      </c>
      <c r="G48" s="2">
        <v>777691</v>
      </c>
      <c r="H48" s="2">
        <v>2756071.8460996072</v>
      </c>
      <c r="I48" s="2">
        <f>40.43*(100000)</f>
        <v>4043000</v>
      </c>
      <c r="J48" s="2">
        <f t="shared" si="0"/>
        <v>2527770</v>
      </c>
      <c r="K48" s="2">
        <f t="shared" si="1"/>
        <v>1916820</v>
      </c>
      <c r="L48" s="2">
        <f t="shared" si="2"/>
        <v>1543000</v>
      </c>
      <c r="M48" s="2">
        <f t="shared" si="3"/>
        <v>2493280</v>
      </c>
      <c r="N48" s="2">
        <f t="shared" si="4"/>
        <v>3036800</v>
      </c>
      <c r="O48" s="2">
        <f t="shared" si="5"/>
        <v>3265309</v>
      </c>
      <c r="P48" s="2">
        <f t="shared" si="6"/>
        <v>1286928.1539003928</v>
      </c>
      <c r="Q48" s="3">
        <f t="shared" si="7"/>
        <v>17505811432.602741</v>
      </c>
      <c r="R48" s="3">
        <f t="shared" si="8"/>
        <v>10066298390.136986</v>
      </c>
      <c r="S48" s="3">
        <f t="shared" si="9"/>
        <v>6522873972.6027393</v>
      </c>
      <c r="T48" s="3">
        <f t="shared" si="10"/>
        <v>17031356598.356165</v>
      </c>
      <c r="U48" s="3">
        <f t="shared" si="11"/>
        <v>25266176000</v>
      </c>
      <c r="V48" s="3">
        <f t="shared" si="12"/>
        <v>29211624288.98904</v>
      </c>
      <c r="W48" s="3">
        <f t="shared" si="13"/>
        <v>4537490611.7848577</v>
      </c>
      <c r="X48" s="3">
        <f t="shared" si="14"/>
        <v>1656184073301.4731</v>
      </c>
      <c r="Y48" s="3">
        <f t="shared" si="15"/>
        <v>17935758729998.121</v>
      </c>
      <c r="AK48">
        <v>1.0062</v>
      </c>
      <c r="AL48">
        <v>1000000</v>
      </c>
      <c r="AM48">
        <f t="shared" si="16"/>
        <v>1006200</v>
      </c>
      <c r="AN48">
        <v>777691</v>
      </c>
      <c r="AP48">
        <f t="shared" si="17"/>
        <v>777691</v>
      </c>
    </row>
    <row r="49" spans="1:42" x14ac:dyDescent="0.4">
      <c r="A49">
        <v>38</v>
      </c>
      <c r="B49" s="2">
        <v>3423500</v>
      </c>
      <c r="C49" s="2">
        <v>12222400</v>
      </c>
      <c r="D49" s="2">
        <f>IF(B49&lt;2500000,2500000,B49)</f>
        <v>3423500</v>
      </c>
      <c r="E49" s="2">
        <v>3611740</v>
      </c>
      <c r="F49" s="2">
        <v>1604080</v>
      </c>
      <c r="G49" s="2">
        <v>1164260</v>
      </c>
      <c r="H49" s="2">
        <v>2950428.490110789</v>
      </c>
      <c r="I49" s="2">
        <f>39.76*(100000)</f>
        <v>3976000</v>
      </c>
      <c r="J49" s="2">
        <f t="shared" si="0"/>
        <v>552500</v>
      </c>
      <c r="K49" s="2">
        <f t="shared" si="1"/>
        <v>8246400</v>
      </c>
      <c r="L49" s="2">
        <f t="shared" si="2"/>
        <v>552500</v>
      </c>
      <c r="M49" s="2">
        <f t="shared" si="3"/>
        <v>364260</v>
      </c>
      <c r="N49" s="2">
        <f t="shared" si="4"/>
        <v>2371920</v>
      </c>
      <c r="O49" s="2">
        <f t="shared" si="5"/>
        <v>2811740</v>
      </c>
      <c r="P49" s="2">
        <f t="shared" si="6"/>
        <v>1025571.509889211</v>
      </c>
      <c r="Q49" s="3">
        <f t="shared" si="7"/>
        <v>836318493.15068495</v>
      </c>
      <c r="R49" s="3">
        <f t="shared" si="8"/>
        <v>186309898520.54794</v>
      </c>
      <c r="S49" s="3">
        <f t="shared" si="9"/>
        <v>836318493.15068495</v>
      </c>
      <c r="T49" s="3">
        <f t="shared" si="10"/>
        <v>363521500.27397263</v>
      </c>
      <c r="U49" s="3">
        <f t="shared" si="11"/>
        <v>15413710921.643835</v>
      </c>
      <c r="V49" s="3">
        <f t="shared" si="12"/>
        <v>21659950212.602741</v>
      </c>
      <c r="W49" s="3">
        <f t="shared" si="13"/>
        <v>2881635402.4559894</v>
      </c>
      <c r="X49" s="3">
        <f t="shared" si="14"/>
        <v>1051796921896.4362</v>
      </c>
      <c r="Y49" s="3">
        <f t="shared" si="15"/>
        <v>18507746173833.738</v>
      </c>
      <c r="AK49">
        <v>1.60408</v>
      </c>
      <c r="AL49">
        <v>1000000</v>
      </c>
      <c r="AM49">
        <f t="shared" si="16"/>
        <v>1604080</v>
      </c>
      <c r="AN49">
        <v>1.1642600000000001</v>
      </c>
      <c r="AO49">
        <v>1000000</v>
      </c>
      <c r="AP49">
        <f t="shared" si="17"/>
        <v>1164260</v>
      </c>
    </row>
    <row r="50" spans="1:42" x14ac:dyDescent="0.4">
      <c r="A50">
        <v>39</v>
      </c>
      <c r="B50" s="2">
        <v>2603520</v>
      </c>
      <c r="C50" s="2">
        <v>3917580</v>
      </c>
      <c r="D50" s="2">
        <f>IF(B50&lt;2500000,2500000,B50)</f>
        <v>2603520</v>
      </c>
      <c r="E50" s="2">
        <v>2719230</v>
      </c>
      <c r="F50" s="2">
        <v>1327170</v>
      </c>
      <c r="G50" s="2">
        <v>954786</v>
      </c>
      <c r="H50" s="2">
        <v>2579716.457548087</v>
      </c>
      <c r="I50" s="2">
        <f>36.91*(100000)</f>
        <v>3690999.9999999995</v>
      </c>
      <c r="J50" s="2">
        <f t="shared" si="0"/>
        <v>1087479.9999999995</v>
      </c>
      <c r="K50" s="2">
        <f t="shared" si="1"/>
        <v>226580.00000000047</v>
      </c>
      <c r="L50" s="2">
        <f t="shared" si="2"/>
        <v>1087479.9999999995</v>
      </c>
      <c r="M50" s="2">
        <f t="shared" si="3"/>
        <v>971769.99999999953</v>
      </c>
      <c r="N50" s="2">
        <f t="shared" si="4"/>
        <v>2363829.9999999995</v>
      </c>
      <c r="O50" s="2">
        <f t="shared" si="5"/>
        <v>2736213.9999999995</v>
      </c>
      <c r="P50" s="2">
        <f t="shared" si="6"/>
        <v>1111283.5424519125</v>
      </c>
      <c r="Q50" s="3">
        <f t="shared" si="7"/>
        <v>3240034932.6027369</v>
      </c>
      <c r="R50" s="3">
        <f t="shared" si="8"/>
        <v>140653414.79452112</v>
      </c>
      <c r="S50" s="3">
        <f t="shared" si="9"/>
        <v>3240034932.6027369</v>
      </c>
      <c r="T50" s="3">
        <f t="shared" si="10"/>
        <v>2587224473.6986279</v>
      </c>
      <c r="U50" s="3">
        <f t="shared" si="11"/>
        <v>15308745942.191776</v>
      </c>
      <c r="V50" s="3">
        <f t="shared" si="12"/>
        <v>20511964530.947937</v>
      </c>
      <c r="W50" s="3">
        <f t="shared" si="13"/>
        <v>3383427703.3547168</v>
      </c>
      <c r="X50" s="3">
        <f t="shared" si="14"/>
        <v>1234951111724.4717</v>
      </c>
      <c r="Y50" s="3">
        <f t="shared" si="15"/>
        <v>21041147091641.957</v>
      </c>
      <c r="AK50">
        <v>1.32717</v>
      </c>
      <c r="AL50">
        <v>1000000</v>
      </c>
      <c r="AM50">
        <f t="shared" si="16"/>
        <v>1327170</v>
      </c>
      <c r="AN50">
        <v>954786</v>
      </c>
      <c r="AP50">
        <f t="shared" si="17"/>
        <v>954786</v>
      </c>
    </row>
    <row r="51" spans="1:42" x14ac:dyDescent="0.4">
      <c r="A51">
        <v>40</v>
      </c>
      <c r="B51" s="2">
        <v>1872430</v>
      </c>
      <c r="C51" s="2">
        <v>1717230</v>
      </c>
      <c r="D51" s="2">
        <f>IF(B51&lt;2500000,2500000,B51)</f>
        <v>2500000</v>
      </c>
      <c r="E51" s="2">
        <v>6418440</v>
      </c>
      <c r="F51" s="2">
        <v>1149240</v>
      </c>
      <c r="G51" s="2">
        <v>834191</v>
      </c>
      <c r="H51" s="2">
        <v>2608897.817394672</v>
      </c>
      <c r="I51" s="2">
        <f>40.58*(100000)</f>
        <v>4058000</v>
      </c>
      <c r="J51" s="2">
        <f t="shared" si="0"/>
        <v>2185570</v>
      </c>
      <c r="K51" s="2">
        <f t="shared" si="1"/>
        <v>2340770</v>
      </c>
      <c r="L51" s="2">
        <f t="shared" si="2"/>
        <v>1558000</v>
      </c>
      <c r="M51" s="2">
        <f t="shared" si="3"/>
        <v>2360440</v>
      </c>
      <c r="N51" s="2">
        <f t="shared" si="4"/>
        <v>2908760</v>
      </c>
      <c r="O51" s="2">
        <f t="shared" si="5"/>
        <v>3223809</v>
      </c>
      <c r="P51" s="2">
        <f t="shared" si="6"/>
        <v>1449102.182605328</v>
      </c>
      <c r="Q51" s="3">
        <f t="shared" si="7"/>
        <v>13086893766.849316</v>
      </c>
      <c r="R51" s="3">
        <f t="shared" si="8"/>
        <v>15011518336.712328</v>
      </c>
      <c r="S51" s="3">
        <f t="shared" si="9"/>
        <v>6650312328.7671232</v>
      </c>
      <c r="T51" s="3">
        <f t="shared" si="10"/>
        <v>15264868475.616438</v>
      </c>
      <c r="U51" s="3">
        <f t="shared" si="11"/>
        <v>23180506130.410957</v>
      </c>
      <c r="V51" s="3">
        <f t="shared" si="12"/>
        <v>28473820461.591782</v>
      </c>
      <c r="W51" s="3">
        <f t="shared" si="13"/>
        <v>5753142837.3466454</v>
      </c>
      <c r="X51" s="3">
        <f t="shared" si="14"/>
        <v>2099897135631.5254</v>
      </c>
      <c r="Y51" s="3">
        <f t="shared" si="15"/>
        <v>17808931839587.164</v>
      </c>
      <c r="AK51">
        <v>1.14924</v>
      </c>
      <c r="AL51">
        <v>1000000</v>
      </c>
      <c r="AM51">
        <f t="shared" si="16"/>
        <v>1149240</v>
      </c>
      <c r="AN51">
        <v>834191</v>
      </c>
      <c r="AP51">
        <f t="shared" si="17"/>
        <v>834191</v>
      </c>
    </row>
    <row r="52" spans="1:42" x14ac:dyDescent="0.4">
      <c r="A52">
        <v>41</v>
      </c>
      <c r="B52" s="2">
        <v>3783460</v>
      </c>
      <c r="C52" s="2">
        <v>13442300</v>
      </c>
      <c r="D52" s="2">
        <f>IF(B52&lt;2500000,2500000,B52)</f>
        <v>3783460</v>
      </c>
      <c r="E52" s="2">
        <v>4026750</v>
      </c>
      <c r="F52" s="2">
        <v>1930790</v>
      </c>
      <c r="G52" s="2">
        <v>5824920</v>
      </c>
      <c r="H52" s="2">
        <v>3143527.0266154101</v>
      </c>
      <c r="I52" s="2">
        <f>35.66*(100000)</f>
        <v>3565999.9999999995</v>
      </c>
      <c r="J52" s="2">
        <f t="shared" si="0"/>
        <v>217460.00000000047</v>
      </c>
      <c r="K52" s="2">
        <f t="shared" si="1"/>
        <v>9876300</v>
      </c>
      <c r="L52" s="2">
        <f t="shared" si="2"/>
        <v>217460.00000000047</v>
      </c>
      <c r="M52" s="2">
        <f t="shared" si="3"/>
        <v>460750.00000000047</v>
      </c>
      <c r="N52" s="2">
        <f t="shared" si="4"/>
        <v>1635209.9999999995</v>
      </c>
      <c r="O52" s="2">
        <f t="shared" si="5"/>
        <v>2258920.0000000005</v>
      </c>
      <c r="P52" s="2">
        <f t="shared" si="6"/>
        <v>422472.97338458942</v>
      </c>
      <c r="Q52" s="3">
        <f t="shared" si="7"/>
        <v>129558497.53424715</v>
      </c>
      <c r="R52" s="3">
        <f t="shared" si="8"/>
        <v>267236442986.30136</v>
      </c>
      <c r="S52" s="3">
        <f t="shared" si="9"/>
        <v>129558497.53424715</v>
      </c>
      <c r="T52" s="3">
        <f t="shared" si="10"/>
        <v>581617979.45205593</v>
      </c>
      <c r="U52" s="3">
        <f t="shared" si="11"/>
        <v>7325785600.2739687</v>
      </c>
      <c r="V52" s="3">
        <f t="shared" si="12"/>
        <v>13980053606.575348</v>
      </c>
      <c r="W52" s="3">
        <f t="shared" si="13"/>
        <v>488995652.71346855</v>
      </c>
      <c r="X52" s="3">
        <f t="shared" si="14"/>
        <v>178483413240.41602</v>
      </c>
      <c r="Y52" s="3">
        <f t="shared" si="15"/>
        <v>22203537845066.617</v>
      </c>
      <c r="AK52">
        <v>1.93079</v>
      </c>
      <c r="AL52">
        <v>1000000</v>
      </c>
      <c r="AM52">
        <f t="shared" si="16"/>
        <v>1930790</v>
      </c>
      <c r="AN52">
        <v>5.8249199999999997</v>
      </c>
      <c r="AO52">
        <v>1000000</v>
      </c>
      <c r="AP52">
        <f t="shared" si="17"/>
        <v>5824920</v>
      </c>
    </row>
    <row r="53" spans="1:42" x14ac:dyDescent="0.4">
      <c r="A53">
        <v>42</v>
      </c>
      <c r="B53" s="2">
        <v>7570270</v>
      </c>
      <c r="C53" s="2">
        <v>4191729.9999999995</v>
      </c>
      <c r="D53" s="2">
        <f>IF(B53&lt;2500000,2500000,B53)</f>
        <v>7570270</v>
      </c>
      <c r="E53" s="2">
        <v>3240510</v>
      </c>
      <c r="F53" s="2">
        <v>1616740</v>
      </c>
      <c r="G53" s="2">
        <v>1132360</v>
      </c>
      <c r="H53" s="2">
        <v>2641405.0058384882</v>
      </c>
      <c r="I53" s="2">
        <f>34.79*(100000)</f>
        <v>3479000</v>
      </c>
      <c r="J53" s="2">
        <f t="shared" si="0"/>
        <v>4091270</v>
      </c>
      <c r="K53" s="2">
        <f t="shared" si="1"/>
        <v>712729.99999999953</v>
      </c>
      <c r="L53" s="2">
        <f t="shared" si="2"/>
        <v>4091270</v>
      </c>
      <c r="M53" s="2">
        <f t="shared" si="3"/>
        <v>238490</v>
      </c>
      <c r="N53" s="2">
        <f t="shared" si="4"/>
        <v>1862260</v>
      </c>
      <c r="O53" s="2">
        <f t="shared" si="5"/>
        <v>2346640</v>
      </c>
      <c r="P53" s="2">
        <f t="shared" si="6"/>
        <v>837594.99416151177</v>
      </c>
      <c r="Q53" s="3">
        <f t="shared" si="7"/>
        <v>45858877295.61644</v>
      </c>
      <c r="R53" s="3">
        <f t="shared" si="8"/>
        <v>1391737131.2328749</v>
      </c>
      <c r="S53" s="3">
        <f t="shared" si="9"/>
        <v>45858877295.61644</v>
      </c>
      <c r="T53" s="3">
        <f t="shared" si="10"/>
        <v>155828712.60273972</v>
      </c>
      <c r="U53" s="3">
        <f t="shared" si="11"/>
        <v>9501403582.4657536</v>
      </c>
      <c r="V53" s="3">
        <f t="shared" si="12"/>
        <v>15086902163.287672</v>
      </c>
      <c r="W53" s="3">
        <f t="shared" si="13"/>
        <v>1922096915.7381451</v>
      </c>
      <c r="X53" s="3">
        <f t="shared" si="14"/>
        <v>701565374244.42297</v>
      </c>
      <c r="Y53" s="3">
        <f t="shared" si="15"/>
        <v>23031005809450.176</v>
      </c>
      <c r="AK53">
        <v>1.6167400000000001</v>
      </c>
      <c r="AL53">
        <v>1000000</v>
      </c>
      <c r="AM53">
        <f t="shared" si="16"/>
        <v>1616740</v>
      </c>
      <c r="AN53">
        <v>1.13236</v>
      </c>
      <c r="AO53">
        <v>1000000</v>
      </c>
      <c r="AP53">
        <f t="shared" si="17"/>
        <v>1132360</v>
      </c>
    </row>
    <row r="54" spans="1:42" x14ac:dyDescent="0.4">
      <c r="A54">
        <v>43</v>
      </c>
      <c r="B54" s="2">
        <v>6069230</v>
      </c>
      <c r="C54" s="2">
        <v>19698100</v>
      </c>
      <c r="D54" s="2">
        <f>IF(B54&lt;2500000,2500000,B54)</f>
        <v>6069230</v>
      </c>
      <c r="E54" s="2">
        <v>6458400</v>
      </c>
      <c r="F54" s="2">
        <v>2703340</v>
      </c>
      <c r="G54" s="2">
        <v>1865900</v>
      </c>
      <c r="H54" s="2">
        <v>3656706.3829663899</v>
      </c>
      <c r="I54" s="2">
        <f>56.81*(100000)</f>
        <v>5681000</v>
      </c>
      <c r="J54" s="2">
        <f t="shared" si="0"/>
        <v>388230</v>
      </c>
      <c r="K54" s="2">
        <f t="shared" si="1"/>
        <v>14017100</v>
      </c>
      <c r="L54" s="2">
        <f t="shared" si="2"/>
        <v>388230</v>
      </c>
      <c r="M54" s="2">
        <f t="shared" si="3"/>
        <v>777400</v>
      </c>
      <c r="N54" s="2">
        <f t="shared" si="4"/>
        <v>2977660</v>
      </c>
      <c r="O54" s="2">
        <f t="shared" si="5"/>
        <v>3815100</v>
      </c>
      <c r="P54" s="2">
        <f t="shared" si="6"/>
        <v>2024293.6170336101</v>
      </c>
      <c r="Q54" s="3">
        <f t="shared" si="7"/>
        <v>412938446.30136985</v>
      </c>
      <c r="R54" s="3">
        <f t="shared" si="8"/>
        <v>538298883315.06848</v>
      </c>
      <c r="S54" s="3">
        <f t="shared" si="9"/>
        <v>412938446.30136985</v>
      </c>
      <c r="T54" s="3">
        <f t="shared" si="10"/>
        <v>1655755506.8493152</v>
      </c>
      <c r="U54" s="3">
        <f t="shared" si="11"/>
        <v>24291668700.273972</v>
      </c>
      <c r="V54" s="3">
        <f t="shared" si="12"/>
        <v>39876679479.452057</v>
      </c>
      <c r="W54" s="3">
        <f t="shared" si="13"/>
        <v>11226752460.172647</v>
      </c>
      <c r="X54" s="3">
        <f t="shared" si="14"/>
        <v>4097764647963.0161</v>
      </c>
      <c r="Y54" s="3">
        <f t="shared" si="15"/>
        <v>6744736297121.4102</v>
      </c>
      <c r="AK54">
        <v>2.7033399999999999</v>
      </c>
      <c r="AL54">
        <v>1000000</v>
      </c>
      <c r="AM54">
        <f t="shared" si="16"/>
        <v>2703340</v>
      </c>
      <c r="AN54">
        <v>1.8658999999999999</v>
      </c>
      <c r="AO54">
        <v>1000000</v>
      </c>
      <c r="AP54">
        <f t="shared" si="17"/>
        <v>1865900</v>
      </c>
    </row>
    <row r="55" spans="1:42" x14ac:dyDescent="0.4">
      <c r="A55">
        <v>44</v>
      </c>
      <c r="B55" s="2">
        <v>5587690</v>
      </c>
      <c r="C55" s="2">
        <v>11134500</v>
      </c>
      <c r="D55" s="2">
        <f>IF(B55&lt;2500000,2500000,B55)</f>
        <v>5587690</v>
      </c>
      <c r="E55" s="2">
        <v>10374700</v>
      </c>
      <c r="F55" s="2">
        <v>2600140</v>
      </c>
      <c r="G55" s="2">
        <v>1776530</v>
      </c>
      <c r="H55" s="2">
        <v>2966512.2054305859</v>
      </c>
      <c r="I55" s="2">
        <f>47.26*(100000)</f>
        <v>4726000</v>
      </c>
      <c r="J55" s="2">
        <f t="shared" si="0"/>
        <v>861690</v>
      </c>
      <c r="K55" s="2">
        <f t="shared" si="1"/>
        <v>6408500</v>
      </c>
      <c r="L55" s="2">
        <f t="shared" si="2"/>
        <v>861690</v>
      </c>
      <c r="M55" s="2">
        <f t="shared" si="3"/>
        <v>5648700</v>
      </c>
      <c r="N55" s="2">
        <f t="shared" si="4"/>
        <v>2125860</v>
      </c>
      <c r="O55" s="2">
        <f t="shared" si="5"/>
        <v>2949470</v>
      </c>
      <c r="P55" s="2">
        <f t="shared" si="6"/>
        <v>1759487.7945694141</v>
      </c>
      <c r="Q55" s="3">
        <f t="shared" si="7"/>
        <v>2034273030.410959</v>
      </c>
      <c r="R55" s="3">
        <f t="shared" si="8"/>
        <v>112517458219.17809</v>
      </c>
      <c r="S55" s="3">
        <f t="shared" si="9"/>
        <v>2034273030.410959</v>
      </c>
      <c r="T55" s="3">
        <f t="shared" si="10"/>
        <v>87418662164.38356</v>
      </c>
      <c r="U55" s="3">
        <f t="shared" si="11"/>
        <v>12381591067.397261</v>
      </c>
      <c r="V55" s="3">
        <f t="shared" si="12"/>
        <v>23833899399.726028</v>
      </c>
      <c r="W55" s="3">
        <f t="shared" si="13"/>
        <v>8481636436.2705221</v>
      </c>
      <c r="X55" s="3">
        <f t="shared" si="14"/>
        <v>3095797299238.7407</v>
      </c>
      <c r="Y55" s="3">
        <f t="shared" si="15"/>
        <v>12617151653285.795</v>
      </c>
      <c r="AK55">
        <v>2.6001400000000001</v>
      </c>
      <c r="AL55">
        <v>1000000</v>
      </c>
      <c r="AM55">
        <f t="shared" si="16"/>
        <v>2600140</v>
      </c>
      <c r="AN55">
        <v>1.7765299999999999</v>
      </c>
      <c r="AO55">
        <v>1000000</v>
      </c>
      <c r="AP55">
        <f t="shared" si="17"/>
        <v>1776530</v>
      </c>
    </row>
    <row r="56" spans="1:42" x14ac:dyDescent="0.4">
      <c r="A56">
        <v>45</v>
      </c>
      <c r="B56" s="2">
        <v>8969380</v>
      </c>
      <c r="C56" s="2">
        <v>4178910</v>
      </c>
      <c r="D56" s="2">
        <f>IF(B56&lt;2500000,2500000,B56)</f>
        <v>8969380</v>
      </c>
      <c r="E56" s="2">
        <v>4700180</v>
      </c>
      <c r="F56" s="2">
        <v>2210760</v>
      </c>
      <c r="G56" s="2">
        <v>1506720</v>
      </c>
      <c r="H56" s="2">
        <v>2857815.1856835792</v>
      </c>
      <c r="I56" s="2">
        <f>44.59*(100000)</f>
        <v>4459000</v>
      </c>
      <c r="J56" s="2">
        <f t="shared" si="0"/>
        <v>4510380</v>
      </c>
      <c r="K56" s="2">
        <f t="shared" si="1"/>
        <v>280090</v>
      </c>
      <c r="L56" s="2">
        <f t="shared" si="2"/>
        <v>4510380</v>
      </c>
      <c r="M56" s="2">
        <f t="shared" si="3"/>
        <v>241180</v>
      </c>
      <c r="N56" s="2">
        <f t="shared" si="4"/>
        <v>2248240</v>
      </c>
      <c r="O56" s="2">
        <f t="shared" si="5"/>
        <v>2952280</v>
      </c>
      <c r="P56" s="2">
        <f t="shared" si="6"/>
        <v>1601184.8143164208</v>
      </c>
      <c r="Q56" s="3">
        <f t="shared" si="7"/>
        <v>55735692450.410957</v>
      </c>
      <c r="R56" s="3">
        <f t="shared" si="8"/>
        <v>214932624.93150684</v>
      </c>
      <c r="S56" s="3">
        <f t="shared" si="9"/>
        <v>55735692450.410957</v>
      </c>
      <c r="T56" s="3">
        <f t="shared" si="10"/>
        <v>159363814.79452056</v>
      </c>
      <c r="U56" s="3">
        <f t="shared" si="11"/>
        <v>13848172870.136986</v>
      </c>
      <c r="V56" s="3">
        <f t="shared" si="12"/>
        <v>23879334790.136986</v>
      </c>
      <c r="W56" s="3">
        <f t="shared" si="13"/>
        <v>7024089889.3082495</v>
      </c>
      <c r="X56" s="3">
        <f t="shared" si="14"/>
        <v>2563792809597.5112</v>
      </c>
      <c r="Y56" s="3">
        <f t="shared" si="15"/>
        <v>14585242302600.863</v>
      </c>
      <c r="AK56">
        <v>2.2107600000000001</v>
      </c>
      <c r="AL56">
        <v>1000000</v>
      </c>
      <c r="AM56">
        <f t="shared" si="16"/>
        <v>2210760</v>
      </c>
      <c r="AN56">
        <v>1.5067200000000001</v>
      </c>
      <c r="AO56">
        <v>1000000</v>
      </c>
      <c r="AP56">
        <f t="shared" si="17"/>
        <v>1506720</v>
      </c>
    </row>
    <row r="57" spans="1:42" x14ac:dyDescent="0.4">
      <c r="A57">
        <v>46</v>
      </c>
      <c r="B57" s="2">
        <v>3298550</v>
      </c>
      <c r="C57" s="2">
        <v>1869300</v>
      </c>
      <c r="D57" s="2">
        <f>IF(B57&lt;2500000,2500000,B57)</f>
        <v>3298550</v>
      </c>
      <c r="E57" s="2">
        <v>3403130</v>
      </c>
      <c r="F57" s="2">
        <v>1923890</v>
      </c>
      <c r="G57" s="2">
        <v>1323420</v>
      </c>
      <c r="H57" s="2">
        <v>2815140.9471233268</v>
      </c>
      <c r="I57" s="2">
        <f>39.79*(100000)</f>
        <v>3979000</v>
      </c>
      <c r="J57" s="2">
        <f t="shared" si="0"/>
        <v>680450</v>
      </c>
      <c r="K57" s="2">
        <f t="shared" si="1"/>
        <v>2109700</v>
      </c>
      <c r="L57" s="2">
        <f t="shared" si="2"/>
        <v>680450</v>
      </c>
      <c r="M57" s="2">
        <f t="shared" si="3"/>
        <v>575870</v>
      </c>
      <c r="N57" s="2">
        <f t="shared" si="4"/>
        <v>2055110</v>
      </c>
      <c r="O57" s="2">
        <f t="shared" si="5"/>
        <v>2655580</v>
      </c>
      <c r="P57" s="2">
        <f t="shared" si="6"/>
        <v>1163859.0528766732</v>
      </c>
      <c r="Q57" s="3">
        <f t="shared" si="7"/>
        <v>1268526582.1917808</v>
      </c>
      <c r="R57" s="3">
        <f t="shared" si="8"/>
        <v>12194066000</v>
      </c>
      <c r="S57" s="3">
        <f t="shared" si="9"/>
        <v>1268526582.1917808</v>
      </c>
      <c r="T57" s="3">
        <f t="shared" si="10"/>
        <v>908565087.39726031</v>
      </c>
      <c r="U57" s="3">
        <f t="shared" si="11"/>
        <v>11571170170.136986</v>
      </c>
      <c r="V57" s="3">
        <f t="shared" si="12"/>
        <v>19320835990.136986</v>
      </c>
      <c r="W57" s="3">
        <f t="shared" si="13"/>
        <v>3711144917.7068133</v>
      </c>
      <c r="X57" s="3">
        <f t="shared" si="14"/>
        <v>1354567894962.9868</v>
      </c>
      <c r="Y57" s="3">
        <f t="shared" si="15"/>
        <v>18481942795751.547</v>
      </c>
      <c r="AK57">
        <v>1.9238900000000001</v>
      </c>
      <c r="AL57">
        <v>1000000</v>
      </c>
      <c r="AM57">
        <f t="shared" si="16"/>
        <v>1923890</v>
      </c>
      <c r="AN57">
        <v>1.32342</v>
      </c>
      <c r="AO57">
        <v>1000000</v>
      </c>
      <c r="AP57">
        <f t="shared" si="17"/>
        <v>1323420</v>
      </c>
    </row>
    <row r="58" spans="1:42" x14ac:dyDescent="0.4">
      <c r="A58">
        <v>47</v>
      </c>
      <c r="B58" s="2">
        <v>2154140</v>
      </c>
      <c r="C58" s="2">
        <v>855240</v>
      </c>
      <c r="D58" s="2">
        <f>IF(B58&lt;2500000,2500000,B58)</f>
        <v>2500000</v>
      </c>
      <c r="E58" s="2">
        <v>2192970</v>
      </c>
      <c r="F58" s="2">
        <v>1686350</v>
      </c>
      <c r="G58" s="2">
        <v>1176380</v>
      </c>
      <c r="H58" s="2">
        <v>2709951.9658955489</v>
      </c>
      <c r="I58" s="2">
        <f>36.46*(100000)</f>
        <v>3646000</v>
      </c>
      <c r="J58" s="2">
        <f t="shared" si="0"/>
        <v>1491860</v>
      </c>
      <c r="K58" s="2">
        <f t="shared" si="1"/>
        <v>2790760</v>
      </c>
      <c r="L58" s="2">
        <f t="shared" si="2"/>
        <v>1146000</v>
      </c>
      <c r="M58" s="2">
        <f t="shared" si="3"/>
        <v>1453030</v>
      </c>
      <c r="N58" s="2">
        <f t="shared" si="4"/>
        <v>1959650</v>
      </c>
      <c r="O58" s="2">
        <f t="shared" si="5"/>
        <v>2469620</v>
      </c>
      <c r="P58" s="2">
        <f t="shared" si="6"/>
        <v>936048.03410445107</v>
      </c>
      <c r="Q58" s="3">
        <f t="shared" si="7"/>
        <v>6097660985.2054796</v>
      </c>
      <c r="R58" s="3">
        <f t="shared" si="8"/>
        <v>21337921582.465752</v>
      </c>
      <c r="S58" s="3">
        <f t="shared" si="9"/>
        <v>3598126027.3972602</v>
      </c>
      <c r="T58" s="3">
        <f t="shared" si="10"/>
        <v>5784373098.356164</v>
      </c>
      <c r="U58" s="3">
        <f t="shared" si="11"/>
        <v>10521172938.356165</v>
      </c>
      <c r="V58" s="3">
        <f t="shared" si="12"/>
        <v>16709651902.465754</v>
      </c>
      <c r="W58" s="3">
        <f t="shared" si="13"/>
        <v>2400509375.7556372</v>
      </c>
      <c r="X58" s="3">
        <f t="shared" si="14"/>
        <v>876185922150.80762</v>
      </c>
      <c r="Y58" s="3">
        <f t="shared" si="15"/>
        <v>21456007762874.836</v>
      </c>
      <c r="AK58">
        <v>1.68635</v>
      </c>
      <c r="AL58">
        <v>1000000</v>
      </c>
      <c r="AM58">
        <f t="shared" si="16"/>
        <v>1686350</v>
      </c>
      <c r="AN58">
        <v>1.17638</v>
      </c>
      <c r="AO58">
        <v>1000000</v>
      </c>
      <c r="AP58">
        <f t="shared" si="17"/>
        <v>1176380</v>
      </c>
    </row>
    <row r="59" spans="1:42" x14ac:dyDescent="0.4">
      <c r="A59">
        <v>48</v>
      </c>
      <c r="B59" s="2">
        <v>1554520</v>
      </c>
      <c r="C59" s="2">
        <v>407444</v>
      </c>
      <c r="D59" s="2">
        <f>IF(B59&lt;2500000,2500000,B59)</f>
        <v>2500000</v>
      </c>
      <c r="E59" s="2">
        <v>6040760</v>
      </c>
      <c r="F59" s="2">
        <v>1488100</v>
      </c>
      <c r="G59" s="2">
        <v>1055050</v>
      </c>
      <c r="H59" s="2">
        <v>2638229.9789680578</v>
      </c>
      <c r="I59" s="2">
        <f>38.05*(100000)</f>
        <v>3804999.9999999995</v>
      </c>
      <c r="J59" s="2">
        <f t="shared" si="0"/>
        <v>2250479.9999999995</v>
      </c>
      <c r="K59" s="2">
        <f t="shared" si="1"/>
        <v>3397555.9999999995</v>
      </c>
      <c r="L59" s="2">
        <f t="shared" si="2"/>
        <v>1304999.9999999995</v>
      </c>
      <c r="M59" s="2">
        <f t="shared" si="3"/>
        <v>2235760.0000000005</v>
      </c>
      <c r="N59" s="2">
        <f t="shared" si="4"/>
        <v>2316899.9999999995</v>
      </c>
      <c r="O59" s="2">
        <f t="shared" si="5"/>
        <v>2749949.9999999995</v>
      </c>
      <c r="P59" s="2">
        <f t="shared" si="6"/>
        <v>1166770.0210319418</v>
      </c>
      <c r="Q59" s="3">
        <f t="shared" si="7"/>
        <v>13875781453.150679</v>
      </c>
      <c r="R59" s="3">
        <f t="shared" si="8"/>
        <v>31625717186.673962</v>
      </c>
      <c r="S59" s="3">
        <f t="shared" si="9"/>
        <v>4665821917.8082161</v>
      </c>
      <c r="T59" s="3">
        <f t="shared" si="10"/>
        <v>13694856924.931513</v>
      </c>
      <c r="U59" s="3">
        <f t="shared" si="11"/>
        <v>14706919479.452049</v>
      </c>
      <c r="V59" s="3">
        <f t="shared" si="12"/>
        <v>20718424664.383553</v>
      </c>
      <c r="W59" s="3">
        <f t="shared" si="13"/>
        <v>3729732279.3941855</v>
      </c>
      <c r="X59" s="3">
        <f t="shared" si="14"/>
        <v>1361352281978.8777</v>
      </c>
      <c r="Y59" s="3">
        <f t="shared" si="15"/>
        <v>20008292724518.672</v>
      </c>
      <c r="AK59">
        <v>1.4881</v>
      </c>
      <c r="AL59">
        <v>1000000</v>
      </c>
      <c r="AM59">
        <f t="shared" si="16"/>
        <v>1488100</v>
      </c>
      <c r="AN59">
        <v>1.05505</v>
      </c>
      <c r="AO59">
        <v>1000000</v>
      </c>
      <c r="AP59">
        <f t="shared" si="17"/>
        <v>1055050</v>
      </c>
    </row>
    <row r="60" spans="1:42" x14ac:dyDescent="0.4">
      <c r="A60">
        <v>49</v>
      </c>
      <c r="B60" s="2">
        <v>3071090</v>
      </c>
      <c r="C60" s="2">
        <v>9130560</v>
      </c>
      <c r="D60" s="2">
        <f>IF(B60&lt;2500000,2500000,B60)</f>
        <v>3071090</v>
      </c>
      <c r="E60" s="2">
        <v>3187840</v>
      </c>
      <c r="F60" s="2">
        <v>1969190</v>
      </c>
      <c r="G60" s="2">
        <v>5885160</v>
      </c>
      <c r="H60" s="2">
        <v>2995639.6748748529</v>
      </c>
      <c r="I60" s="2">
        <f>64.24*(100000)</f>
        <v>6423999.9999999991</v>
      </c>
      <c r="J60" s="2">
        <f t="shared" si="0"/>
        <v>3352909.9999999991</v>
      </c>
      <c r="K60" s="2">
        <f t="shared" si="1"/>
        <v>2706560.0000000009</v>
      </c>
      <c r="L60" s="2">
        <f t="shared" si="2"/>
        <v>3352909.9999999991</v>
      </c>
      <c r="M60" s="2">
        <f t="shared" si="3"/>
        <v>3236159.9999999991</v>
      </c>
      <c r="N60" s="2">
        <f t="shared" si="4"/>
        <v>4454809.9999999991</v>
      </c>
      <c r="O60" s="2">
        <f t="shared" si="5"/>
        <v>538839.99999999907</v>
      </c>
      <c r="P60" s="2">
        <f t="shared" si="6"/>
        <v>3428360.3251251462</v>
      </c>
      <c r="Q60" s="3">
        <f t="shared" si="7"/>
        <v>30800014981.095875</v>
      </c>
      <c r="R60" s="3">
        <f t="shared" si="8"/>
        <v>20069772694.794533</v>
      </c>
      <c r="S60" s="3">
        <f t="shared" si="9"/>
        <v>30800014981.095875</v>
      </c>
      <c r="T60" s="3">
        <f t="shared" si="10"/>
        <v>28692415193.424641</v>
      </c>
      <c r="U60" s="3">
        <f t="shared" si="11"/>
        <v>54370772975.616417</v>
      </c>
      <c r="V60" s="3">
        <f t="shared" si="12"/>
        <v>795475467.39725757</v>
      </c>
      <c r="W60" s="3">
        <f t="shared" si="13"/>
        <v>32201793202.444378</v>
      </c>
      <c r="X60" s="3">
        <f t="shared" si="14"/>
        <v>11753654518892.197</v>
      </c>
      <c r="Y60" s="3">
        <f t="shared" si="15"/>
        <v>3437549658765.25</v>
      </c>
      <c r="AK60">
        <v>1.96919</v>
      </c>
      <c r="AL60">
        <v>1000000</v>
      </c>
      <c r="AM60">
        <f t="shared" si="16"/>
        <v>1969190</v>
      </c>
      <c r="AN60">
        <v>5.8851599999999999</v>
      </c>
      <c r="AO60">
        <v>1000000</v>
      </c>
      <c r="AP60">
        <f t="shared" si="17"/>
        <v>5885160</v>
      </c>
    </row>
    <row r="61" spans="1:42" x14ac:dyDescent="0.4">
      <c r="A61">
        <v>50</v>
      </c>
      <c r="B61" s="2">
        <v>13128600</v>
      </c>
      <c r="C61" s="2">
        <v>31826200</v>
      </c>
      <c r="D61" s="2">
        <f>IF(B61&lt;2500000,2500000,B61)</f>
        <v>13128600</v>
      </c>
      <c r="E61" s="2">
        <v>9120990</v>
      </c>
      <c r="F61" s="2">
        <v>3790830</v>
      </c>
      <c r="G61" s="2">
        <v>2604550</v>
      </c>
      <c r="H61" s="2">
        <v>4612804.287091692</v>
      </c>
      <c r="I61" s="2">
        <f>64.39*(100000)</f>
        <v>6439000</v>
      </c>
      <c r="J61" s="2">
        <f t="shared" si="0"/>
        <v>6689600</v>
      </c>
      <c r="K61" s="2">
        <f t="shared" si="1"/>
        <v>25387200</v>
      </c>
      <c r="L61" s="2">
        <f t="shared" si="2"/>
        <v>6689600</v>
      </c>
      <c r="M61" s="2">
        <f t="shared" si="3"/>
        <v>2681990</v>
      </c>
      <c r="N61" s="2">
        <f t="shared" si="4"/>
        <v>2648170</v>
      </c>
      <c r="O61" s="2">
        <f t="shared" si="5"/>
        <v>3834450</v>
      </c>
      <c r="P61" s="2">
        <f t="shared" si="6"/>
        <v>1826195.712908308</v>
      </c>
      <c r="Q61" s="3">
        <f t="shared" si="7"/>
        <v>122604789479.45206</v>
      </c>
      <c r="R61" s="3">
        <f t="shared" si="8"/>
        <v>1765780613260.2739</v>
      </c>
      <c r="S61" s="3">
        <f t="shared" si="9"/>
        <v>122604789479.45206</v>
      </c>
      <c r="T61" s="3">
        <f t="shared" si="10"/>
        <v>19707042082.465752</v>
      </c>
      <c r="U61" s="3">
        <f t="shared" si="11"/>
        <v>19213162599.726028</v>
      </c>
      <c r="V61" s="3">
        <f t="shared" si="12"/>
        <v>40282210417.80822</v>
      </c>
      <c r="W61" s="3">
        <f t="shared" si="13"/>
        <v>9136961046.1498184</v>
      </c>
      <c r="X61" s="3">
        <f t="shared" si="14"/>
        <v>3334990781844.6836</v>
      </c>
      <c r="Y61" s="3">
        <f t="shared" si="15"/>
        <v>3382152768354.2876</v>
      </c>
      <c r="AK61">
        <v>3.7908300000000001</v>
      </c>
      <c r="AL61">
        <v>1000000</v>
      </c>
      <c r="AM61">
        <f t="shared" si="16"/>
        <v>3790830</v>
      </c>
      <c r="AN61">
        <v>2.6045500000000001</v>
      </c>
      <c r="AO61">
        <v>1000000</v>
      </c>
      <c r="AP61">
        <f t="shared" si="17"/>
        <v>2604550</v>
      </c>
    </row>
    <row r="62" spans="1:42" x14ac:dyDescent="0.4">
      <c r="A62">
        <v>51</v>
      </c>
      <c r="B62" s="2">
        <v>7108560</v>
      </c>
      <c r="C62" s="2">
        <v>16491499.999999998</v>
      </c>
      <c r="D62" s="2">
        <f>IF(B62&lt;2500000,2500000,B62)</f>
        <v>7108560</v>
      </c>
      <c r="E62" s="2">
        <v>7456740</v>
      </c>
      <c r="F62" s="2">
        <v>3193630</v>
      </c>
      <c r="G62" s="2">
        <v>2177740</v>
      </c>
      <c r="H62" s="2">
        <v>3029469.7162916362</v>
      </c>
      <c r="I62" s="2">
        <f>51.71*(100000)</f>
        <v>5171000</v>
      </c>
      <c r="J62" s="2">
        <f t="shared" si="0"/>
        <v>1937560</v>
      </c>
      <c r="K62" s="2">
        <f t="shared" si="1"/>
        <v>11320499.999999998</v>
      </c>
      <c r="L62" s="2">
        <f t="shared" si="2"/>
        <v>1937560</v>
      </c>
      <c r="M62" s="2">
        <f t="shared" si="3"/>
        <v>2285740</v>
      </c>
      <c r="N62" s="2">
        <f t="shared" si="4"/>
        <v>1977370</v>
      </c>
      <c r="O62" s="2">
        <f t="shared" si="5"/>
        <v>2993260</v>
      </c>
      <c r="P62" s="2">
        <f t="shared" si="6"/>
        <v>2141530.2837083638</v>
      </c>
      <c r="Q62" s="3">
        <f t="shared" si="7"/>
        <v>10285311653.698629</v>
      </c>
      <c r="R62" s="3">
        <f t="shared" si="8"/>
        <v>351106082876.71222</v>
      </c>
      <c r="S62" s="3">
        <f t="shared" si="9"/>
        <v>10285311653.698629</v>
      </c>
      <c r="T62" s="3">
        <f t="shared" si="10"/>
        <v>14313992733.150684</v>
      </c>
      <c r="U62" s="3">
        <f t="shared" si="11"/>
        <v>10712307169.589041</v>
      </c>
      <c r="V62" s="3">
        <f t="shared" si="12"/>
        <v>24546864185.205479</v>
      </c>
      <c r="W62" s="3">
        <f t="shared" si="13"/>
        <v>12564799879.561714</v>
      </c>
      <c r="X62" s="3">
        <f t="shared" si="14"/>
        <v>4586151956040.0254</v>
      </c>
      <c r="Y62" s="3">
        <f t="shared" si="15"/>
        <v>9653840571094.0137</v>
      </c>
      <c r="AK62">
        <v>3.1936300000000002</v>
      </c>
      <c r="AL62">
        <v>1000000</v>
      </c>
      <c r="AM62">
        <f t="shared" si="16"/>
        <v>3193630</v>
      </c>
      <c r="AN62">
        <v>2.17774</v>
      </c>
      <c r="AO62">
        <v>1000000</v>
      </c>
      <c r="AP62">
        <f t="shared" si="17"/>
        <v>2177740</v>
      </c>
    </row>
    <row r="63" spans="1:42" x14ac:dyDescent="0.4">
      <c r="A63">
        <v>52</v>
      </c>
      <c r="B63" s="2">
        <v>10615600</v>
      </c>
      <c r="C63" s="2">
        <v>4780980</v>
      </c>
      <c r="D63" s="2">
        <f>IF(B63&lt;2500000,2500000,B63)</f>
        <v>10615600</v>
      </c>
      <c r="E63" s="2">
        <v>10916600</v>
      </c>
      <c r="F63" s="2">
        <v>2736520</v>
      </c>
      <c r="G63" s="2">
        <v>1867570</v>
      </c>
      <c r="H63" s="2">
        <v>3002313.857872949</v>
      </c>
      <c r="I63" s="2">
        <f>46.79*(100000)</f>
        <v>4679000</v>
      </c>
      <c r="J63" s="2">
        <f t="shared" si="0"/>
        <v>5936600</v>
      </c>
      <c r="K63" s="2">
        <f t="shared" si="1"/>
        <v>101980</v>
      </c>
      <c r="L63" s="2">
        <f t="shared" si="2"/>
        <v>5936600</v>
      </c>
      <c r="M63" s="2">
        <f t="shared" si="3"/>
        <v>6237600</v>
      </c>
      <c r="N63" s="2">
        <f t="shared" si="4"/>
        <v>1942480</v>
      </c>
      <c r="O63" s="2">
        <f t="shared" si="5"/>
        <v>2811430</v>
      </c>
      <c r="P63" s="2">
        <f t="shared" si="6"/>
        <v>1676686.142127051</v>
      </c>
      <c r="Q63" s="3">
        <f t="shared" si="7"/>
        <v>96556765917.808212</v>
      </c>
      <c r="R63" s="3">
        <f t="shared" si="8"/>
        <v>28492932.602739725</v>
      </c>
      <c r="S63" s="3">
        <f t="shared" si="9"/>
        <v>96556765917.808212</v>
      </c>
      <c r="T63" s="3">
        <f t="shared" si="10"/>
        <v>106596311671.23288</v>
      </c>
      <c r="U63" s="3">
        <f t="shared" si="11"/>
        <v>10337612466.849316</v>
      </c>
      <c r="V63" s="3">
        <f t="shared" si="12"/>
        <v>21655174369.589043</v>
      </c>
      <c r="W63" s="3">
        <f t="shared" si="13"/>
        <v>7702127175.8928595</v>
      </c>
      <c r="X63" s="3">
        <f t="shared" si="14"/>
        <v>2811276419200.8936</v>
      </c>
      <c r="Y63" s="3">
        <f t="shared" si="15"/>
        <v>12953254576573.465</v>
      </c>
      <c r="AK63">
        <v>2.7365200000000001</v>
      </c>
      <c r="AL63">
        <v>1000000</v>
      </c>
      <c r="AM63">
        <f t="shared" si="16"/>
        <v>2736520</v>
      </c>
      <c r="AN63">
        <v>1.86757</v>
      </c>
      <c r="AO63">
        <v>1000000</v>
      </c>
      <c r="AP63">
        <f t="shared" si="17"/>
        <v>1867570</v>
      </c>
    </row>
    <row r="64" spans="1:42" x14ac:dyDescent="0.4">
      <c r="A64">
        <v>53</v>
      </c>
      <c r="B64" s="2">
        <v>4555220</v>
      </c>
      <c r="C64" s="2">
        <v>2120300</v>
      </c>
      <c r="D64" s="2">
        <f>IF(B64&lt;2500000,2500000,B64)</f>
        <v>4555220</v>
      </c>
      <c r="E64" s="2">
        <v>4653670</v>
      </c>
      <c r="F64" s="2">
        <v>2377210</v>
      </c>
      <c r="G64" s="2">
        <v>1635730</v>
      </c>
      <c r="H64" s="2">
        <v>2942953.3374389568</v>
      </c>
      <c r="I64" s="2">
        <f>46.14*(100000)</f>
        <v>4614000</v>
      </c>
      <c r="J64" s="2">
        <f t="shared" si="0"/>
        <v>58780</v>
      </c>
      <c r="K64" s="2">
        <f t="shared" si="1"/>
        <v>2493700</v>
      </c>
      <c r="L64" s="2">
        <f t="shared" si="2"/>
        <v>58780</v>
      </c>
      <c r="M64" s="2">
        <f t="shared" si="3"/>
        <v>39670</v>
      </c>
      <c r="N64" s="2">
        <f t="shared" si="4"/>
        <v>2236790</v>
      </c>
      <c r="O64" s="2">
        <f t="shared" si="5"/>
        <v>2978270</v>
      </c>
      <c r="P64" s="2">
        <f t="shared" si="6"/>
        <v>1671046.6625610432</v>
      </c>
      <c r="Q64" s="3">
        <f t="shared" si="7"/>
        <v>9465995.6164383553</v>
      </c>
      <c r="R64" s="3">
        <f t="shared" si="8"/>
        <v>17037095041.09589</v>
      </c>
      <c r="S64" s="3">
        <f t="shared" si="9"/>
        <v>9465995.6164383553</v>
      </c>
      <c r="T64" s="3">
        <f t="shared" si="10"/>
        <v>4311531.2328767125</v>
      </c>
      <c r="U64" s="3">
        <f t="shared" si="11"/>
        <v>13707478093.424658</v>
      </c>
      <c r="V64" s="3">
        <f t="shared" si="12"/>
        <v>24301622446.301369</v>
      </c>
      <c r="W64" s="3">
        <f t="shared" si="13"/>
        <v>7650402598.5106869</v>
      </c>
      <c r="X64" s="3">
        <f t="shared" si="14"/>
        <v>2792396948456.4009</v>
      </c>
      <c r="Y64" s="3">
        <f t="shared" si="15"/>
        <v>13425357768354.287</v>
      </c>
      <c r="AK64">
        <v>2.3772099999999998</v>
      </c>
      <c r="AL64">
        <v>1000000</v>
      </c>
      <c r="AM64">
        <f t="shared" si="16"/>
        <v>2377210</v>
      </c>
      <c r="AN64">
        <v>1.6357299999999999</v>
      </c>
      <c r="AO64">
        <v>1000000</v>
      </c>
      <c r="AP64">
        <f t="shared" si="17"/>
        <v>1635730</v>
      </c>
    </row>
    <row r="65" spans="1:42" x14ac:dyDescent="0.4">
      <c r="A65">
        <v>54</v>
      </c>
      <c r="B65" s="2">
        <v>3135340</v>
      </c>
      <c r="C65" s="2">
        <v>978973</v>
      </c>
      <c r="D65" s="2">
        <f>IF(B65&lt;2500000,2500000,B65)</f>
        <v>3135340</v>
      </c>
      <c r="E65" s="2">
        <v>3160380</v>
      </c>
      <c r="F65" s="2">
        <v>2085160.0000000002</v>
      </c>
      <c r="G65" s="2">
        <v>1453750</v>
      </c>
      <c r="H65" s="2">
        <v>2827299.735421482</v>
      </c>
      <c r="I65" s="2">
        <f>43.17*(100000)</f>
        <v>4317000</v>
      </c>
      <c r="J65" s="2">
        <f t="shared" si="0"/>
        <v>1181660</v>
      </c>
      <c r="K65" s="2">
        <f t="shared" si="1"/>
        <v>3338027</v>
      </c>
      <c r="L65" s="2">
        <f t="shared" si="2"/>
        <v>1181660</v>
      </c>
      <c r="M65" s="2">
        <f t="shared" si="3"/>
        <v>1156620</v>
      </c>
      <c r="N65" s="2">
        <f t="shared" si="4"/>
        <v>2231840</v>
      </c>
      <c r="O65" s="2">
        <f t="shared" si="5"/>
        <v>2863250</v>
      </c>
      <c r="P65" s="2">
        <f t="shared" si="6"/>
        <v>1489700.264578518</v>
      </c>
      <c r="Q65" s="3">
        <f t="shared" si="7"/>
        <v>3825535220.821918</v>
      </c>
      <c r="R65" s="3">
        <f t="shared" si="8"/>
        <v>30527189733.504108</v>
      </c>
      <c r="S65" s="3">
        <f t="shared" si="9"/>
        <v>3825535220.821918</v>
      </c>
      <c r="T65" s="3">
        <f t="shared" si="10"/>
        <v>3665122806.5753427</v>
      </c>
      <c r="U65" s="3">
        <f t="shared" si="11"/>
        <v>13646876124.931507</v>
      </c>
      <c r="V65" s="3">
        <f t="shared" si="12"/>
        <v>22460823458.90411</v>
      </c>
      <c r="W65" s="3">
        <f t="shared" si="13"/>
        <v>6080018844.6172781</v>
      </c>
      <c r="X65" s="3">
        <f t="shared" si="14"/>
        <v>2219206878285.3066</v>
      </c>
      <c r="Y65" s="3">
        <f t="shared" si="15"/>
        <v>15690020198491.273</v>
      </c>
      <c r="AK65">
        <v>2.0851600000000001</v>
      </c>
      <c r="AL65">
        <v>1000000</v>
      </c>
      <c r="AM65">
        <f t="shared" si="16"/>
        <v>2085160.0000000002</v>
      </c>
      <c r="AN65">
        <v>1.4537500000000001</v>
      </c>
      <c r="AO65">
        <v>1000000</v>
      </c>
      <c r="AP65">
        <f t="shared" si="17"/>
        <v>1453750</v>
      </c>
    </row>
    <row r="66" spans="1:42" x14ac:dyDescent="0.4">
      <c r="A66">
        <v>55</v>
      </c>
      <c r="B66" s="2">
        <v>7929480</v>
      </c>
      <c r="C66" s="2">
        <v>7162640</v>
      </c>
      <c r="D66" s="2">
        <f>IF(B66&lt;2500000,2500000,B66)</f>
        <v>7929480</v>
      </c>
      <c r="E66" s="2">
        <v>8067380</v>
      </c>
      <c r="F66" s="2">
        <v>2327770</v>
      </c>
      <c r="G66" s="2">
        <v>6149450</v>
      </c>
      <c r="H66" s="2">
        <v>3023769.391253782</v>
      </c>
      <c r="I66" s="2">
        <f>40.66*(100000)</f>
        <v>4065999.9999999995</v>
      </c>
      <c r="J66" s="2">
        <f t="shared" si="0"/>
        <v>3863480.0000000005</v>
      </c>
      <c r="K66" s="2">
        <f t="shared" si="1"/>
        <v>3096640.0000000005</v>
      </c>
      <c r="L66" s="2">
        <f t="shared" si="2"/>
        <v>3863480.0000000005</v>
      </c>
      <c r="M66" s="2">
        <f t="shared" si="3"/>
        <v>4001380.0000000005</v>
      </c>
      <c r="N66" s="2">
        <f t="shared" si="4"/>
        <v>1738229.9999999995</v>
      </c>
      <c r="O66" s="2">
        <f t="shared" si="5"/>
        <v>2083450.0000000005</v>
      </c>
      <c r="P66" s="2">
        <f t="shared" si="6"/>
        <v>1042230.6087462176</v>
      </c>
      <c r="Q66" s="3">
        <f t="shared" si="7"/>
        <v>40894459480.547958</v>
      </c>
      <c r="R66" s="3">
        <f t="shared" si="8"/>
        <v>26271724081.095894</v>
      </c>
      <c r="S66" s="3">
        <f t="shared" si="9"/>
        <v>40894459480.547958</v>
      </c>
      <c r="T66" s="3">
        <f t="shared" si="10"/>
        <v>43865868231.232887</v>
      </c>
      <c r="U66" s="3">
        <f t="shared" si="11"/>
        <v>8277927487.3972559</v>
      </c>
      <c r="V66" s="3">
        <f t="shared" si="12"/>
        <v>11892503842.465759</v>
      </c>
      <c r="W66" s="3">
        <f t="shared" si="13"/>
        <v>2976012717.2808528</v>
      </c>
      <c r="X66" s="3">
        <f t="shared" si="14"/>
        <v>1086244641807.5112</v>
      </c>
      <c r="Y66" s="3">
        <f t="shared" si="15"/>
        <v>17741474831367.984</v>
      </c>
      <c r="AK66">
        <v>2.3277700000000001</v>
      </c>
      <c r="AL66">
        <v>1000000</v>
      </c>
      <c r="AM66">
        <f t="shared" si="16"/>
        <v>2327770</v>
      </c>
      <c r="AN66">
        <v>6.1494499999999999</v>
      </c>
      <c r="AO66">
        <v>1000000</v>
      </c>
      <c r="AP66">
        <f t="shared" si="17"/>
        <v>6149450</v>
      </c>
    </row>
    <row r="67" spans="1:42" x14ac:dyDescent="0.4">
      <c r="A67">
        <v>56</v>
      </c>
      <c r="B67" s="2">
        <v>2844240</v>
      </c>
      <c r="C67" s="2">
        <v>2986310</v>
      </c>
      <c r="D67" s="2">
        <f>IF(B67&lt;2500000,2500000,B67)</f>
        <v>2844240</v>
      </c>
      <c r="E67" s="2">
        <v>2877930</v>
      </c>
      <c r="F67" s="2">
        <v>2057210</v>
      </c>
      <c r="G67" s="2">
        <v>1447870</v>
      </c>
      <c r="H67" s="2">
        <v>2728252.466397271</v>
      </c>
      <c r="I67" s="2">
        <f>36.86*(100000)</f>
        <v>3686000</v>
      </c>
      <c r="J67" s="2">
        <f t="shared" si="0"/>
        <v>841760</v>
      </c>
      <c r="K67" s="2">
        <f t="shared" si="1"/>
        <v>699690</v>
      </c>
      <c r="L67" s="2">
        <f t="shared" si="2"/>
        <v>841760</v>
      </c>
      <c r="M67" s="2">
        <f t="shared" si="3"/>
        <v>808070</v>
      </c>
      <c r="N67" s="2">
        <f t="shared" si="4"/>
        <v>1628790</v>
      </c>
      <c r="O67" s="2">
        <f t="shared" si="5"/>
        <v>2238130</v>
      </c>
      <c r="P67" s="2">
        <f t="shared" si="6"/>
        <v>957747.53360272897</v>
      </c>
      <c r="Q67" s="3">
        <f t="shared" si="7"/>
        <v>1941259993.4246576</v>
      </c>
      <c r="R67" s="3">
        <f t="shared" si="8"/>
        <v>1341276975.6164384</v>
      </c>
      <c r="S67" s="3">
        <f t="shared" si="9"/>
        <v>1941259993.4246576</v>
      </c>
      <c r="T67" s="3">
        <f t="shared" si="10"/>
        <v>1788978424.3835616</v>
      </c>
      <c r="U67" s="3">
        <f t="shared" si="11"/>
        <v>7268374970.1369867</v>
      </c>
      <c r="V67" s="3">
        <f t="shared" si="12"/>
        <v>13723906566.849316</v>
      </c>
      <c r="W67" s="3">
        <f t="shared" si="13"/>
        <v>2513096816.7729053</v>
      </c>
      <c r="X67" s="3">
        <f t="shared" si="14"/>
        <v>917280338122.11047</v>
      </c>
      <c r="Y67" s="3">
        <f t="shared" si="15"/>
        <v>21087042721778.945</v>
      </c>
      <c r="AK67">
        <v>2.05721</v>
      </c>
      <c r="AL67">
        <v>1000000</v>
      </c>
      <c r="AM67">
        <f t="shared" si="16"/>
        <v>2057210</v>
      </c>
      <c r="AN67">
        <v>1.44787</v>
      </c>
      <c r="AO67">
        <v>1000000</v>
      </c>
      <c r="AP67">
        <f t="shared" si="17"/>
        <v>1447870</v>
      </c>
    </row>
    <row r="68" spans="1:42" x14ac:dyDescent="0.4">
      <c r="A68">
        <v>57</v>
      </c>
      <c r="B68" s="2">
        <v>2040690</v>
      </c>
      <c r="C68" s="2">
        <v>1203260</v>
      </c>
      <c r="D68" s="2">
        <f>IF(B68&lt;2500000,2500000,B68)</f>
        <v>2500000</v>
      </c>
      <c r="E68" s="2">
        <v>2023390</v>
      </c>
      <c r="F68" s="2">
        <v>1802060</v>
      </c>
      <c r="G68" s="2">
        <v>1285850</v>
      </c>
      <c r="H68" s="2">
        <v>2648631.381161192</v>
      </c>
      <c r="I68" s="2">
        <f>35.4*(100000)</f>
        <v>3540000</v>
      </c>
      <c r="J68" s="2">
        <f t="shared" si="0"/>
        <v>1499310</v>
      </c>
      <c r="K68" s="2">
        <f t="shared" si="1"/>
        <v>2336740</v>
      </c>
      <c r="L68" s="2">
        <f t="shared" si="2"/>
        <v>1040000</v>
      </c>
      <c r="M68" s="2">
        <f t="shared" si="3"/>
        <v>1516610</v>
      </c>
      <c r="N68" s="2">
        <f t="shared" si="4"/>
        <v>1737940</v>
      </c>
      <c r="O68" s="2">
        <f t="shared" si="5"/>
        <v>2254150</v>
      </c>
      <c r="P68" s="2">
        <f t="shared" si="6"/>
        <v>891368.61883880803</v>
      </c>
      <c r="Q68" s="3">
        <f t="shared" si="7"/>
        <v>6158713633.1506853</v>
      </c>
      <c r="R68" s="3">
        <f t="shared" si="8"/>
        <v>14959873500.273973</v>
      </c>
      <c r="S68" s="3">
        <f t="shared" si="9"/>
        <v>2963287671.2328768</v>
      </c>
      <c r="T68" s="3">
        <f t="shared" si="10"/>
        <v>6301659978.356164</v>
      </c>
      <c r="U68" s="3">
        <f t="shared" si="11"/>
        <v>8275165598.90411</v>
      </c>
      <c r="V68" s="3">
        <f t="shared" si="12"/>
        <v>13921074582.19178</v>
      </c>
      <c r="W68" s="3">
        <f t="shared" si="13"/>
        <v>2176816478.4948063</v>
      </c>
      <c r="X68" s="3">
        <f t="shared" si="14"/>
        <v>794538014650.60425</v>
      </c>
      <c r="Y68" s="3">
        <f t="shared" si="15"/>
        <v>22449241121778.945</v>
      </c>
      <c r="AK68">
        <v>1.80206</v>
      </c>
      <c r="AL68">
        <v>1000000</v>
      </c>
      <c r="AM68">
        <f t="shared" si="16"/>
        <v>1802060</v>
      </c>
      <c r="AN68">
        <v>1.2858499999999999</v>
      </c>
      <c r="AO68">
        <v>1000000</v>
      </c>
      <c r="AP68">
        <f t="shared" si="17"/>
        <v>1285850</v>
      </c>
    </row>
    <row r="69" spans="1:42" x14ac:dyDescent="0.4">
      <c r="A69">
        <v>58</v>
      </c>
      <c r="B69" s="2">
        <v>1494810</v>
      </c>
      <c r="C69" s="2">
        <v>538388</v>
      </c>
      <c r="D69" s="2">
        <f>IF(B69&lt;2500000,2500000,B69)</f>
        <v>2500000</v>
      </c>
      <c r="E69" s="2">
        <v>1443330</v>
      </c>
      <c r="F69" s="2">
        <v>1586640</v>
      </c>
      <c r="G69" s="2">
        <v>1151580</v>
      </c>
      <c r="H69" s="2">
        <v>2596785.3561311322</v>
      </c>
      <c r="I69" s="2">
        <f>33.96*(100000)</f>
        <v>3396000</v>
      </c>
      <c r="J69" s="2">
        <f t="shared" si="0"/>
        <v>1901190</v>
      </c>
      <c r="K69" s="2">
        <f t="shared" si="1"/>
        <v>2857612</v>
      </c>
      <c r="L69" s="2">
        <f t="shared" si="2"/>
        <v>896000</v>
      </c>
      <c r="M69" s="2">
        <f t="shared" si="3"/>
        <v>1952670</v>
      </c>
      <c r="N69" s="2">
        <f t="shared" si="4"/>
        <v>1809360</v>
      </c>
      <c r="O69" s="2">
        <f t="shared" si="5"/>
        <v>2244420</v>
      </c>
      <c r="P69" s="2">
        <f t="shared" si="6"/>
        <v>799214.64386886777</v>
      </c>
      <c r="Q69" s="3">
        <f t="shared" si="7"/>
        <v>9902803879.7260265</v>
      </c>
      <c r="R69" s="3">
        <f t="shared" si="8"/>
        <v>22372455732.997261</v>
      </c>
      <c r="S69" s="3">
        <f t="shared" si="9"/>
        <v>2199495890.4109588</v>
      </c>
      <c r="T69" s="3">
        <f t="shared" si="10"/>
        <v>10446356517.534246</v>
      </c>
      <c r="U69" s="3">
        <f t="shared" si="11"/>
        <v>8969270163.287672</v>
      </c>
      <c r="V69" s="3">
        <f t="shared" si="12"/>
        <v>13801153798.356165</v>
      </c>
      <c r="W69" s="3">
        <f t="shared" si="13"/>
        <v>1749983690.3409348</v>
      </c>
      <c r="X69" s="3">
        <f t="shared" si="14"/>
        <v>638744046974.44116</v>
      </c>
      <c r="Y69" s="3">
        <f t="shared" si="15"/>
        <v>23834539269724.148</v>
      </c>
      <c r="AK69">
        <v>1.5866400000000001</v>
      </c>
      <c r="AL69">
        <v>1000000</v>
      </c>
      <c r="AM69">
        <f t="shared" si="16"/>
        <v>1586640</v>
      </c>
      <c r="AN69">
        <v>1.15158</v>
      </c>
      <c r="AO69">
        <v>1000000</v>
      </c>
      <c r="AP69">
        <f t="shared" si="17"/>
        <v>1151580</v>
      </c>
    </row>
    <row r="70" spans="1:42" x14ac:dyDescent="0.4">
      <c r="A70">
        <v>59</v>
      </c>
      <c r="B70" s="2">
        <v>5642650</v>
      </c>
      <c r="C70" s="2">
        <v>248446</v>
      </c>
      <c r="D70" s="2">
        <f>IF(B70&lt;2500000,2500000,B70)</f>
        <v>5642650</v>
      </c>
      <c r="E70" s="2">
        <v>5561400</v>
      </c>
      <c r="F70" s="2">
        <v>1399570</v>
      </c>
      <c r="G70" s="2">
        <v>1034670</v>
      </c>
      <c r="H70" s="2">
        <v>2560454.4012354971</v>
      </c>
      <c r="I70" s="2">
        <f>36.32*(100000)</f>
        <v>3632000</v>
      </c>
      <c r="J70" s="2">
        <f t="shared" si="0"/>
        <v>2010650</v>
      </c>
      <c r="K70" s="2">
        <f t="shared" si="1"/>
        <v>3383554</v>
      </c>
      <c r="L70" s="2">
        <f t="shared" si="2"/>
        <v>2010650</v>
      </c>
      <c r="M70" s="2">
        <f t="shared" si="3"/>
        <v>1929400</v>
      </c>
      <c r="N70" s="2">
        <f t="shared" si="4"/>
        <v>2232430</v>
      </c>
      <c r="O70" s="2">
        <f t="shared" si="5"/>
        <v>2597330</v>
      </c>
      <c r="P70" s="2">
        <f t="shared" si="6"/>
        <v>1071545.5987645029</v>
      </c>
      <c r="Q70" s="3">
        <f t="shared" si="7"/>
        <v>11075927184.931507</v>
      </c>
      <c r="R70" s="3">
        <f t="shared" si="8"/>
        <v>31365582660.043835</v>
      </c>
      <c r="S70" s="3">
        <f t="shared" si="9"/>
        <v>11075927184.931507</v>
      </c>
      <c r="T70" s="3">
        <f t="shared" si="10"/>
        <v>10198861260.273973</v>
      </c>
      <c r="U70" s="3">
        <f t="shared" si="11"/>
        <v>13654092342.19178</v>
      </c>
      <c r="V70" s="3">
        <f t="shared" si="12"/>
        <v>18482529120.273972</v>
      </c>
      <c r="W70" s="3">
        <f t="shared" si="13"/>
        <v>3145780740.3604856</v>
      </c>
      <c r="X70" s="3">
        <f t="shared" si="14"/>
        <v>1148209970231.5771</v>
      </c>
      <c r="Y70" s="3">
        <f t="shared" si="15"/>
        <v>21585901527258.398</v>
      </c>
      <c r="AK70">
        <v>1.39957</v>
      </c>
      <c r="AL70">
        <v>1000000</v>
      </c>
      <c r="AM70">
        <f t="shared" si="16"/>
        <v>1399570</v>
      </c>
      <c r="AN70">
        <v>1.03467</v>
      </c>
      <c r="AO70">
        <v>1000000</v>
      </c>
      <c r="AP70">
        <f t="shared" si="17"/>
        <v>1034670</v>
      </c>
    </row>
    <row r="71" spans="1:42" x14ac:dyDescent="0.4">
      <c r="A71">
        <v>60</v>
      </c>
      <c r="B71" s="2">
        <v>5585150</v>
      </c>
      <c r="C71" s="2">
        <v>22448700</v>
      </c>
      <c r="D71" s="2">
        <f>IF(B71&lt;2500000,2500000,B71)</f>
        <v>5585150</v>
      </c>
      <c r="E71" s="2">
        <v>5883180</v>
      </c>
      <c r="F71" s="2">
        <v>2870630</v>
      </c>
      <c r="G71" s="2">
        <v>2031569.9999999998</v>
      </c>
      <c r="H71" s="2">
        <v>3838927.0365052558</v>
      </c>
      <c r="I71" s="2">
        <f>38.54*(100000)</f>
        <v>3854000</v>
      </c>
      <c r="J71" s="2">
        <f t="shared" si="0"/>
        <v>1731150</v>
      </c>
      <c r="K71" s="2">
        <f t="shared" si="1"/>
        <v>18594700</v>
      </c>
      <c r="L71" s="2">
        <f t="shared" si="2"/>
        <v>1731150</v>
      </c>
      <c r="M71" s="2">
        <f t="shared" si="3"/>
        <v>2029180</v>
      </c>
      <c r="N71" s="2">
        <f t="shared" si="4"/>
        <v>983370</v>
      </c>
      <c r="O71" s="2">
        <f t="shared" si="5"/>
        <v>1822430.0000000002</v>
      </c>
      <c r="P71" s="2">
        <f t="shared" si="6"/>
        <v>15072.963494744152</v>
      </c>
      <c r="Q71" s="3">
        <f t="shared" si="7"/>
        <v>8210631020.547945</v>
      </c>
      <c r="R71" s="3">
        <f t="shared" si="8"/>
        <v>947295529013.69861</v>
      </c>
      <c r="S71" s="3">
        <f t="shared" si="9"/>
        <v>8210631020.547945</v>
      </c>
      <c r="T71" s="3">
        <f t="shared" si="10"/>
        <v>11281017732.602739</v>
      </c>
      <c r="U71" s="3">
        <f t="shared" si="11"/>
        <v>2649360429.8630137</v>
      </c>
      <c r="V71" s="3">
        <f t="shared" si="12"/>
        <v>9099318095.6164417</v>
      </c>
      <c r="W71" s="3">
        <f t="shared" si="13"/>
        <v>622449.94113394478</v>
      </c>
      <c r="X71" s="3">
        <f t="shared" si="14"/>
        <v>227194228.51388985</v>
      </c>
      <c r="Y71" s="3">
        <f t="shared" si="15"/>
        <v>19572333549176.203</v>
      </c>
      <c r="AK71">
        <v>2.8706299999999998</v>
      </c>
      <c r="AL71">
        <v>1000000</v>
      </c>
      <c r="AM71">
        <f t="shared" si="16"/>
        <v>2870630</v>
      </c>
      <c r="AN71">
        <v>2.0315699999999999</v>
      </c>
      <c r="AO71">
        <v>1000000</v>
      </c>
      <c r="AP71">
        <f t="shared" si="17"/>
        <v>2031569.9999999998</v>
      </c>
    </row>
    <row r="72" spans="1:42" x14ac:dyDescent="0.4">
      <c r="A72">
        <v>61</v>
      </c>
      <c r="B72" s="2">
        <v>4778450</v>
      </c>
      <c r="C72" s="2">
        <v>7853950</v>
      </c>
      <c r="D72" s="2">
        <f>IF(B72&lt;2500000,2500000,B72)</f>
        <v>4778450</v>
      </c>
      <c r="E72" s="2">
        <v>4953370</v>
      </c>
      <c r="F72" s="2">
        <v>2418320</v>
      </c>
      <c r="G72" s="2">
        <v>1703510</v>
      </c>
      <c r="H72" s="2">
        <v>2687814.166999843</v>
      </c>
      <c r="I72" s="2">
        <f>33.16*(100000)</f>
        <v>3315999.9999999995</v>
      </c>
      <c r="J72" s="2">
        <f t="shared" si="0"/>
        <v>1462450.0000000005</v>
      </c>
      <c r="K72" s="2">
        <f t="shared" si="1"/>
        <v>4537950</v>
      </c>
      <c r="L72" s="2">
        <f t="shared" si="2"/>
        <v>1462450.0000000005</v>
      </c>
      <c r="M72" s="2">
        <f t="shared" si="3"/>
        <v>1637370.0000000005</v>
      </c>
      <c r="N72" s="2">
        <f t="shared" si="4"/>
        <v>897679.99999999953</v>
      </c>
      <c r="O72" s="2">
        <f t="shared" si="5"/>
        <v>1612489.9999999995</v>
      </c>
      <c r="P72" s="2">
        <f t="shared" si="6"/>
        <v>628185.83300015656</v>
      </c>
      <c r="Q72" s="3">
        <f t="shared" si="7"/>
        <v>5859616445.2054834</v>
      </c>
      <c r="R72" s="3">
        <f t="shared" si="8"/>
        <v>56419151239.726028</v>
      </c>
      <c r="S72" s="3">
        <f t="shared" si="9"/>
        <v>5859616445.2054834</v>
      </c>
      <c r="T72" s="3">
        <f t="shared" si="10"/>
        <v>7345152101.0958948</v>
      </c>
      <c r="U72" s="3">
        <f t="shared" si="11"/>
        <v>2207751732.6027374</v>
      </c>
      <c r="V72" s="3">
        <f t="shared" si="12"/>
        <v>7123627397.5342426</v>
      </c>
      <c r="W72" s="3">
        <f t="shared" si="13"/>
        <v>1081143673.375618</v>
      </c>
      <c r="X72" s="3">
        <f t="shared" si="14"/>
        <v>394617440782.10059</v>
      </c>
      <c r="Y72" s="3">
        <f t="shared" si="15"/>
        <v>24622069351915.93</v>
      </c>
      <c r="AK72">
        <v>2.41832</v>
      </c>
      <c r="AL72">
        <v>1000000</v>
      </c>
      <c r="AM72">
        <f t="shared" si="16"/>
        <v>2418320</v>
      </c>
      <c r="AN72">
        <v>1.7035100000000001</v>
      </c>
      <c r="AO72">
        <v>1000000</v>
      </c>
      <c r="AP72">
        <f t="shared" si="17"/>
        <v>1703510</v>
      </c>
    </row>
    <row r="73" spans="1:42" x14ac:dyDescent="0.4">
      <c r="A73">
        <v>62</v>
      </c>
      <c r="B73" s="2">
        <v>4043830</v>
      </c>
      <c r="C73" s="2">
        <v>3157750</v>
      </c>
      <c r="D73" s="2">
        <f>IF(B73&lt;2500000,2500000,B73)</f>
        <v>4043830</v>
      </c>
      <c r="E73" s="2">
        <v>4130050</v>
      </c>
      <c r="F73" s="2">
        <v>2075740.0000000002</v>
      </c>
      <c r="G73" s="2">
        <v>5984710</v>
      </c>
      <c r="H73" s="2">
        <v>2800124.3035416552</v>
      </c>
      <c r="I73" s="2">
        <f>32.36*(100000)</f>
        <v>3236000</v>
      </c>
      <c r="J73" s="2">
        <f t="shared" si="0"/>
        <v>807830</v>
      </c>
      <c r="K73" s="2">
        <f t="shared" si="1"/>
        <v>78250</v>
      </c>
      <c r="L73" s="2">
        <f t="shared" si="2"/>
        <v>807830</v>
      </c>
      <c r="M73" s="2">
        <f t="shared" si="3"/>
        <v>894050</v>
      </c>
      <c r="N73" s="2">
        <f t="shared" si="4"/>
        <v>1160259.9999999998</v>
      </c>
      <c r="O73" s="2">
        <f t="shared" si="5"/>
        <v>2748710</v>
      </c>
      <c r="P73" s="2">
        <f t="shared" si="6"/>
        <v>435875.69645834481</v>
      </c>
      <c r="Q73" s="3">
        <f t="shared" si="7"/>
        <v>1787915914.7945206</v>
      </c>
      <c r="R73" s="3">
        <f t="shared" si="8"/>
        <v>16775513.698630137</v>
      </c>
      <c r="S73" s="3">
        <f t="shared" si="9"/>
        <v>1787915914.7945206</v>
      </c>
      <c r="T73" s="3">
        <f t="shared" si="10"/>
        <v>2189932609.5890412</v>
      </c>
      <c r="U73" s="3">
        <f t="shared" si="11"/>
        <v>3688228130.4109573</v>
      </c>
      <c r="V73" s="3">
        <f t="shared" si="12"/>
        <v>20699744285.205479</v>
      </c>
      <c r="W73" s="3">
        <f t="shared" si="13"/>
        <v>520514034.96725249</v>
      </c>
      <c r="X73" s="3">
        <f t="shared" si="14"/>
        <v>189987622763.04715</v>
      </c>
      <c r="Y73" s="3">
        <f t="shared" si="15"/>
        <v>25422399434107.711</v>
      </c>
      <c r="AK73">
        <v>2.0757400000000001</v>
      </c>
      <c r="AL73">
        <v>1000000</v>
      </c>
      <c r="AM73">
        <f t="shared" si="16"/>
        <v>2075740.0000000002</v>
      </c>
      <c r="AN73">
        <v>5.9847099999999998</v>
      </c>
      <c r="AO73">
        <v>1000000</v>
      </c>
      <c r="AP73">
        <f t="shared" si="17"/>
        <v>5984710</v>
      </c>
    </row>
    <row r="74" spans="1:42" x14ac:dyDescent="0.4">
      <c r="A74">
        <v>63</v>
      </c>
      <c r="B74" s="2">
        <v>7364370</v>
      </c>
      <c r="C74" s="2">
        <v>1398350</v>
      </c>
      <c r="D74" s="2">
        <f>IF(B74&lt;2500000,2500000,B74)</f>
        <v>7364370</v>
      </c>
      <c r="E74" s="2">
        <v>2888540</v>
      </c>
      <c r="F74" s="2">
        <v>1807540</v>
      </c>
      <c r="G74" s="2">
        <v>1292980</v>
      </c>
      <c r="H74" s="2">
        <v>2741530.1568619609</v>
      </c>
      <c r="I74" s="2">
        <f>31.5*(100000)</f>
        <v>3150000</v>
      </c>
      <c r="J74" s="2">
        <f t="shared" si="0"/>
        <v>4214370</v>
      </c>
      <c r="K74" s="2">
        <f t="shared" si="1"/>
        <v>1751650</v>
      </c>
      <c r="L74" s="2">
        <f t="shared" si="2"/>
        <v>4214370</v>
      </c>
      <c r="M74" s="2">
        <f t="shared" si="3"/>
        <v>261460</v>
      </c>
      <c r="N74" s="2">
        <f t="shared" si="4"/>
        <v>1342460</v>
      </c>
      <c r="O74" s="2">
        <f t="shared" si="5"/>
        <v>1857020</v>
      </c>
      <c r="P74" s="2">
        <f t="shared" si="6"/>
        <v>408469.84313803911</v>
      </c>
      <c r="Q74" s="3">
        <f t="shared" si="7"/>
        <v>48660039717.534248</v>
      </c>
      <c r="R74" s="3">
        <f t="shared" si="8"/>
        <v>8406240335.6164379</v>
      </c>
      <c r="S74" s="3">
        <f t="shared" si="9"/>
        <v>48660039717.534248</v>
      </c>
      <c r="T74" s="3">
        <f t="shared" si="10"/>
        <v>187291319.4520548</v>
      </c>
      <c r="U74" s="3">
        <f t="shared" si="11"/>
        <v>4937531100.2739725</v>
      </c>
      <c r="V74" s="3">
        <f t="shared" si="12"/>
        <v>9448008987.3972607</v>
      </c>
      <c r="W74" s="3">
        <f t="shared" si="13"/>
        <v>457116747.26908016</v>
      </c>
      <c r="X74" s="3">
        <f t="shared" si="14"/>
        <v>166847612753.21426</v>
      </c>
      <c r="Y74" s="3">
        <f t="shared" si="15"/>
        <v>26297030272463.875</v>
      </c>
      <c r="AK74">
        <v>1.8075399999999999</v>
      </c>
      <c r="AL74">
        <v>1000000</v>
      </c>
      <c r="AM74">
        <f t="shared" si="16"/>
        <v>1807540</v>
      </c>
      <c r="AN74">
        <v>1.29298</v>
      </c>
      <c r="AO74">
        <v>1000000</v>
      </c>
      <c r="AP74">
        <f t="shared" si="17"/>
        <v>1292980</v>
      </c>
    </row>
    <row r="75" spans="1:42" x14ac:dyDescent="0.4">
      <c r="A75">
        <v>64</v>
      </c>
      <c r="B75" s="2">
        <v>1784610</v>
      </c>
      <c r="C75" s="2">
        <v>636079</v>
      </c>
      <c r="D75" s="2">
        <f>IF(B75&lt;2500000,2500000,B75)</f>
        <v>2500000</v>
      </c>
      <c r="E75" s="2">
        <v>6301060</v>
      </c>
      <c r="F75" s="2">
        <v>1584200</v>
      </c>
      <c r="G75" s="2">
        <v>1150410</v>
      </c>
      <c r="H75" s="2">
        <v>2660086.2350464058</v>
      </c>
      <c r="I75" s="2">
        <f>31.53*(100000)</f>
        <v>3153000</v>
      </c>
      <c r="J75" s="2">
        <f t="shared" si="0"/>
        <v>1368390</v>
      </c>
      <c r="K75" s="2">
        <f t="shared" si="1"/>
        <v>2516921</v>
      </c>
      <c r="L75" s="2">
        <f t="shared" si="2"/>
        <v>653000</v>
      </c>
      <c r="M75" s="2">
        <f t="shared" si="3"/>
        <v>3148060</v>
      </c>
      <c r="N75" s="2">
        <f t="shared" si="4"/>
        <v>1568800</v>
      </c>
      <c r="O75" s="2">
        <f t="shared" si="5"/>
        <v>2002590</v>
      </c>
      <c r="P75" s="2">
        <f t="shared" si="6"/>
        <v>492913.76495359419</v>
      </c>
      <c r="Q75" s="3">
        <f t="shared" si="7"/>
        <v>5130112855.0684929</v>
      </c>
      <c r="R75" s="3">
        <f t="shared" si="8"/>
        <v>17355866630.79726</v>
      </c>
      <c r="S75" s="3">
        <f t="shared" si="9"/>
        <v>1168243835.6164384</v>
      </c>
      <c r="T75" s="3">
        <f t="shared" si="10"/>
        <v>27151456886.575344</v>
      </c>
      <c r="U75" s="3">
        <f t="shared" si="11"/>
        <v>6742831342.4657536</v>
      </c>
      <c r="V75" s="3">
        <f t="shared" si="12"/>
        <v>10987306049.589041</v>
      </c>
      <c r="W75" s="3">
        <f t="shared" si="13"/>
        <v>665654738.85130715</v>
      </c>
      <c r="X75" s="3">
        <f t="shared" si="14"/>
        <v>242963979680.72711</v>
      </c>
      <c r="Y75" s="3">
        <f t="shared" si="15"/>
        <v>26266270894381.684</v>
      </c>
      <c r="AK75">
        <v>1.5842000000000001</v>
      </c>
      <c r="AL75">
        <v>1000000</v>
      </c>
      <c r="AM75">
        <f t="shared" si="16"/>
        <v>1584200</v>
      </c>
      <c r="AN75">
        <v>1.1504099999999999</v>
      </c>
      <c r="AO75">
        <v>1000000</v>
      </c>
      <c r="AP75">
        <f t="shared" si="17"/>
        <v>1150410</v>
      </c>
    </row>
    <row r="76" spans="1:42" x14ac:dyDescent="0.4">
      <c r="A76">
        <v>65</v>
      </c>
      <c r="B76" s="2">
        <v>1288890</v>
      </c>
      <c r="C76" s="2">
        <v>296946</v>
      </c>
      <c r="D76" s="2">
        <f>IF(B76&lt;2500000,2500000,B76)</f>
        <v>2500000</v>
      </c>
      <c r="E76" s="2">
        <v>1241170</v>
      </c>
      <c r="F76" s="2">
        <v>1393820</v>
      </c>
      <c r="G76" s="2">
        <v>1029879.9999999999</v>
      </c>
      <c r="H76" s="2">
        <v>2603948.322246484</v>
      </c>
      <c r="I76" s="2">
        <f>32.02*(100000)</f>
        <v>3202000.0000000005</v>
      </c>
      <c r="J76" s="2">
        <f t="shared" ref="J76:J139" si="18">ABS(I76-B76)</f>
        <v>1913110.0000000005</v>
      </c>
      <c r="K76" s="2">
        <f t="shared" ref="K76:K139" si="19">ABS(I76-C76)</f>
        <v>2905054.0000000005</v>
      </c>
      <c r="L76" s="2">
        <f t="shared" ref="L76:L139" si="20">ABS(I76-D76)</f>
        <v>702000.00000000047</v>
      </c>
      <c r="M76" s="2">
        <f t="shared" ref="M76:M139" si="21">ABS($I76-E76)</f>
        <v>1960830.0000000005</v>
      </c>
      <c r="N76" s="2">
        <f t="shared" ref="N76:N139" si="22">ABS($I76-F76)</f>
        <v>1808180.0000000005</v>
      </c>
      <c r="O76" s="2">
        <f t="shared" ref="O76:O139" si="23">ABS($I76-G76)</f>
        <v>2172120.0000000005</v>
      </c>
      <c r="P76" s="2">
        <f t="shared" ref="P76:P139" si="24">ABS(I76-H76)</f>
        <v>598051.67775351647</v>
      </c>
      <c r="Q76" s="3">
        <f t="shared" ref="Q76:Q139" si="25">J76^2/COUNT($A$11:$A$375)</f>
        <v>10027369512.602745</v>
      </c>
      <c r="R76" s="3">
        <f t="shared" ref="R76:R139" si="26">K76^2/COUNT($A$11:$A$375)</f>
        <v>23121476007.989048</v>
      </c>
      <c r="S76" s="3">
        <f t="shared" ref="S76:S139" si="27">L76^2/COUNT($A$11:$A$375)</f>
        <v>1350147945.2054813</v>
      </c>
      <c r="T76" s="3">
        <f t="shared" ref="T76:T139" si="28">M76^2/COUNT($A$11:$A$375)</f>
        <v>10533847366.849321</v>
      </c>
      <c r="U76" s="3">
        <f t="shared" ref="U76:U139" si="29">N76^2/COUNT($A$11:$A$375)</f>
        <v>8957575102.4657574</v>
      </c>
      <c r="V76" s="3">
        <f t="shared" ref="V76:V139" si="30">O76^2/COUNT($A$11:$A$375)</f>
        <v>12926315875.068499</v>
      </c>
      <c r="W76" s="3">
        <f t="shared" ref="W76:W139" si="31">P76^2/COUNT($A$11:$A$375)</f>
        <v>979906326.75012577</v>
      </c>
      <c r="X76" s="3">
        <f t="shared" ref="X76:X139" si="32">P76^2</f>
        <v>357665809263.7959</v>
      </c>
      <c r="Y76" s="3">
        <f t="shared" ref="Y76:Y139" si="33">(I76-AVERAGE($I$11:$I$375))^2</f>
        <v>25766415719039.219</v>
      </c>
      <c r="AK76">
        <v>1.3938200000000001</v>
      </c>
      <c r="AL76">
        <v>1000000</v>
      </c>
      <c r="AM76">
        <f t="shared" ref="AM76:AM139" si="34">IF(AL76="",AK76,AK76*AL76)</f>
        <v>1393820</v>
      </c>
      <c r="AN76">
        <v>1.0298799999999999</v>
      </c>
      <c r="AO76">
        <v>1000000</v>
      </c>
      <c r="AP76">
        <f t="shared" ref="AP76:AP139" si="35">IF(AO76="",AN76,AN76*AO76)</f>
        <v>1029879.9999999999</v>
      </c>
    </row>
    <row r="77" spans="1:42" x14ac:dyDescent="0.4">
      <c r="A77">
        <v>66</v>
      </c>
      <c r="B77" s="2">
        <v>1010240</v>
      </c>
      <c r="C77" s="2">
        <v>141083</v>
      </c>
      <c r="D77" s="2">
        <f>IF(B77&lt;2500000,2500000,B77)</f>
        <v>2500000</v>
      </c>
      <c r="E77" s="2">
        <v>944712</v>
      </c>
      <c r="F77" s="2">
        <v>1228820</v>
      </c>
      <c r="G77" s="2">
        <v>925059</v>
      </c>
      <c r="H77" s="2">
        <v>2565417.806902247</v>
      </c>
      <c r="I77" s="2">
        <f>32.65*(100000)</f>
        <v>3265000</v>
      </c>
      <c r="J77" s="2">
        <f t="shared" si="18"/>
        <v>2254760</v>
      </c>
      <c r="K77" s="2">
        <f t="shared" si="19"/>
        <v>3123917</v>
      </c>
      <c r="L77" s="2">
        <f t="shared" si="20"/>
        <v>765000</v>
      </c>
      <c r="M77" s="2">
        <f t="shared" si="21"/>
        <v>2320288</v>
      </c>
      <c r="N77" s="2">
        <f t="shared" si="22"/>
        <v>2036180</v>
      </c>
      <c r="O77" s="2">
        <f t="shared" si="23"/>
        <v>2339941</v>
      </c>
      <c r="P77" s="2">
        <f t="shared" si="24"/>
        <v>699582.19309775298</v>
      </c>
      <c r="Q77" s="3">
        <f t="shared" si="25"/>
        <v>13928610020.821918</v>
      </c>
      <c r="R77" s="3">
        <f t="shared" si="26"/>
        <v>26736595679.147945</v>
      </c>
      <c r="S77" s="3">
        <f t="shared" si="27"/>
        <v>1603356164.3835616</v>
      </c>
      <c r="T77" s="3">
        <f t="shared" si="28"/>
        <v>14749962747.79178</v>
      </c>
      <c r="U77" s="3">
        <f t="shared" si="29"/>
        <v>11358983540.821918</v>
      </c>
      <c r="V77" s="3">
        <f t="shared" si="30"/>
        <v>15000887352.002739</v>
      </c>
      <c r="W77" s="3">
        <f t="shared" si="31"/>
        <v>1340863684.6560595</v>
      </c>
      <c r="X77" s="3">
        <f t="shared" si="32"/>
        <v>489415244899.46173</v>
      </c>
      <c r="Y77" s="3">
        <f t="shared" si="33"/>
        <v>25130800779313.191</v>
      </c>
      <c r="AK77">
        <v>1.22882</v>
      </c>
      <c r="AL77">
        <v>1000000</v>
      </c>
      <c r="AM77">
        <f t="shared" si="34"/>
        <v>1228820</v>
      </c>
      <c r="AN77">
        <v>925059</v>
      </c>
      <c r="AP77">
        <f t="shared" si="35"/>
        <v>925059</v>
      </c>
    </row>
    <row r="78" spans="1:42" x14ac:dyDescent="0.4">
      <c r="A78">
        <v>67</v>
      </c>
      <c r="B78" s="2">
        <v>819131</v>
      </c>
      <c r="C78" s="2">
        <v>67804.899999999994</v>
      </c>
      <c r="D78" s="2">
        <f>IF(B78&lt;2500000,2500000,B78)</f>
        <v>2500000</v>
      </c>
      <c r="E78" s="2">
        <v>743760</v>
      </c>
      <c r="F78" s="2">
        <v>1084930</v>
      </c>
      <c r="G78" s="2">
        <v>832650</v>
      </c>
      <c r="H78" s="2">
        <v>2538961.6483462201</v>
      </c>
      <c r="I78" s="2">
        <f>32.65*(100000)</f>
        <v>3265000</v>
      </c>
      <c r="J78" s="2">
        <f t="shared" si="18"/>
        <v>2445869</v>
      </c>
      <c r="K78" s="2">
        <f t="shared" si="19"/>
        <v>3197195.1</v>
      </c>
      <c r="L78" s="2">
        <f t="shared" si="20"/>
        <v>765000</v>
      </c>
      <c r="M78" s="2">
        <f t="shared" si="21"/>
        <v>2521240</v>
      </c>
      <c r="N78" s="2">
        <f t="shared" si="22"/>
        <v>2180070</v>
      </c>
      <c r="O78" s="2">
        <f t="shared" si="23"/>
        <v>2432350</v>
      </c>
      <c r="P78" s="2">
        <f t="shared" si="24"/>
        <v>726038.35165377986</v>
      </c>
      <c r="Q78" s="3">
        <f t="shared" si="25"/>
        <v>16389794973.043835</v>
      </c>
      <c r="R78" s="3">
        <f t="shared" si="26"/>
        <v>28005634267.024685</v>
      </c>
      <c r="S78" s="3">
        <f t="shared" si="27"/>
        <v>1603356164.3835616</v>
      </c>
      <c r="T78" s="3">
        <f t="shared" si="28"/>
        <v>17415482568.767124</v>
      </c>
      <c r="U78" s="3">
        <f t="shared" si="29"/>
        <v>13021110150.410959</v>
      </c>
      <c r="V78" s="3">
        <f t="shared" si="30"/>
        <v>16209113760.273973</v>
      </c>
      <c r="W78" s="3">
        <f t="shared" si="31"/>
        <v>1444196405.6770897</v>
      </c>
      <c r="X78" s="3">
        <f t="shared" si="32"/>
        <v>527131688072.1377</v>
      </c>
      <c r="Y78" s="3">
        <f t="shared" si="33"/>
        <v>25130800779313.191</v>
      </c>
      <c r="AK78">
        <v>1.0849299999999999</v>
      </c>
      <c r="AL78">
        <v>1000000</v>
      </c>
      <c r="AM78">
        <f t="shared" si="34"/>
        <v>1084930</v>
      </c>
      <c r="AN78">
        <v>832650</v>
      </c>
      <c r="AP78">
        <f t="shared" si="35"/>
        <v>832650</v>
      </c>
    </row>
    <row r="79" spans="1:42" x14ac:dyDescent="0.4">
      <c r="A79">
        <v>68</v>
      </c>
      <c r="B79" s="2">
        <v>2833050</v>
      </c>
      <c r="C79" s="2">
        <v>10454200</v>
      </c>
      <c r="D79" s="2">
        <f>IF(B79&lt;2500000,2500000,B79)</f>
        <v>2833050</v>
      </c>
      <c r="E79" s="2">
        <v>2932600</v>
      </c>
      <c r="F79" s="2">
        <v>1722950</v>
      </c>
      <c r="G79" s="2">
        <v>1264630</v>
      </c>
      <c r="H79" s="2">
        <v>2995264.6069856212</v>
      </c>
      <c r="I79" s="2">
        <f>31.68*(100000)</f>
        <v>3168000</v>
      </c>
      <c r="J79" s="2">
        <f t="shared" si="18"/>
        <v>334950</v>
      </c>
      <c r="K79" s="2">
        <f t="shared" si="19"/>
        <v>7286200</v>
      </c>
      <c r="L79" s="2">
        <f t="shared" si="20"/>
        <v>334950</v>
      </c>
      <c r="M79" s="2">
        <f t="shared" si="21"/>
        <v>235400</v>
      </c>
      <c r="N79" s="2">
        <f t="shared" si="22"/>
        <v>1445050</v>
      </c>
      <c r="O79" s="2">
        <f t="shared" si="23"/>
        <v>1903370</v>
      </c>
      <c r="P79" s="2">
        <f t="shared" si="24"/>
        <v>172735.39301437885</v>
      </c>
      <c r="Q79" s="3">
        <f t="shared" si="25"/>
        <v>307373979.4520548</v>
      </c>
      <c r="R79" s="3">
        <f t="shared" si="26"/>
        <v>145448521753.42465</v>
      </c>
      <c r="S79" s="3">
        <f t="shared" si="27"/>
        <v>307373979.4520548</v>
      </c>
      <c r="T79" s="3">
        <f t="shared" si="28"/>
        <v>151816876.71232876</v>
      </c>
      <c r="U79" s="3">
        <f t="shared" si="29"/>
        <v>5721012335.6164379</v>
      </c>
      <c r="V79" s="3">
        <f t="shared" si="30"/>
        <v>9925527005.2054787</v>
      </c>
      <c r="W79" s="3">
        <f t="shared" si="31"/>
        <v>81746619.177621707</v>
      </c>
      <c r="X79" s="3">
        <f t="shared" si="32"/>
        <v>29837515999.831921</v>
      </c>
      <c r="Y79" s="3">
        <f t="shared" si="33"/>
        <v>26112744003970.727</v>
      </c>
      <c r="AK79">
        <v>1.72295</v>
      </c>
      <c r="AL79">
        <v>1000000</v>
      </c>
      <c r="AM79">
        <f t="shared" si="34"/>
        <v>1722950</v>
      </c>
      <c r="AN79">
        <v>1.2646299999999999</v>
      </c>
      <c r="AO79">
        <v>1000000</v>
      </c>
      <c r="AP79">
        <f t="shared" si="35"/>
        <v>1264630</v>
      </c>
    </row>
    <row r="80" spans="1:42" x14ac:dyDescent="0.4">
      <c r="A80">
        <v>69</v>
      </c>
      <c r="B80" s="2">
        <v>6872520</v>
      </c>
      <c r="C80" s="2">
        <v>3143450</v>
      </c>
      <c r="D80" s="2">
        <f>IF(B80&lt;2500000,2500000,B80)</f>
        <v>6872520</v>
      </c>
      <c r="E80" s="2">
        <v>2437050</v>
      </c>
      <c r="F80" s="2">
        <v>1442480</v>
      </c>
      <c r="G80" s="2">
        <v>1056330</v>
      </c>
      <c r="H80" s="2">
        <v>2562451.9865018451</v>
      </c>
      <c r="I80" s="2">
        <f>32.65*(100000)</f>
        <v>3265000</v>
      </c>
      <c r="J80" s="2">
        <f t="shared" si="18"/>
        <v>3607520</v>
      </c>
      <c r="K80" s="2">
        <f t="shared" si="19"/>
        <v>121550</v>
      </c>
      <c r="L80" s="2">
        <f t="shared" si="20"/>
        <v>3607520</v>
      </c>
      <c r="M80" s="2">
        <f t="shared" si="21"/>
        <v>827950</v>
      </c>
      <c r="N80" s="2">
        <f t="shared" si="22"/>
        <v>1822520</v>
      </c>
      <c r="O80" s="2">
        <f t="shared" si="23"/>
        <v>2208670</v>
      </c>
      <c r="P80" s="2">
        <f t="shared" si="24"/>
        <v>702548.01349815493</v>
      </c>
      <c r="Q80" s="3">
        <f t="shared" si="25"/>
        <v>35655343973.698631</v>
      </c>
      <c r="R80" s="3">
        <f t="shared" si="26"/>
        <v>40477815.06849315</v>
      </c>
      <c r="S80" s="3">
        <f t="shared" si="27"/>
        <v>35655343973.698631</v>
      </c>
      <c r="T80" s="3">
        <f t="shared" si="28"/>
        <v>1878085486.3013699</v>
      </c>
      <c r="U80" s="3">
        <f t="shared" si="29"/>
        <v>9100216850.4109592</v>
      </c>
      <c r="V80" s="3">
        <f t="shared" si="30"/>
        <v>13364994983.287672</v>
      </c>
      <c r="W80" s="3">
        <f t="shared" si="31"/>
        <v>1352256743.2060375</v>
      </c>
      <c r="X80" s="3">
        <f t="shared" si="32"/>
        <v>493573711270.20367</v>
      </c>
      <c r="Y80" s="3">
        <f t="shared" si="33"/>
        <v>25130800779313.191</v>
      </c>
      <c r="AK80">
        <v>1.44248</v>
      </c>
      <c r="AL80">
        <v>1000000</v>
      </c>
      <c r="AM80">
        <f t="shared" si="34"/>
        <v>1442480</v>
      </c>
      <c r="AN80">
        <v>1.05633</v>
      </c>
      <c r="AO80">
        <v>1000000</v>
      </c>
      <c r="AP80">
        <f t="shared" si="35"/>
        <v>1056330</v>
      </c>
    </row>
    <row r="81" spans="1:42" x14ac:dyDescent="0.4">
      <c r="A81">
        <v>70</v>
      </c>
      <c r="B81" s="2">
        <v>1780370</v>
      </c>
      <c r="C81" s="2">
        <v>1350730</v>
      </c>
      <c r="D81" s="2">
        <f>IF(B81&lt;2500000,2500000,B81)</f>
        <v>2500000</v>
      </c>
      <c r="E81" s="2">
        <v>1785540</v>
      </c>
      <c r="F81" s="2">
        <v>1253910</v>
      </c>
      <c r="G81" s="2">
        <v>5400580</v>
      </c>
      <c r="H81" s="2">
        <v>2569545.3152913158</v>
      </c>
      <c r="I81" s="2">
        <f>34.23*(100000)</f>
        <v>3422999.9999999995</v>
      </c>
      <c r="J81" s="2">
        <f t="shared" si="18"/>
        <v>1642629.9999999995</v>
      </c>
      <c r="K81" s="2">
        <f t="shared" si="19"/>
        <v>2072269.9999999995</v>
      </c>
      <c r="L81" s="2">
        <f t="shared" si="20"/>
        <v>922999.99999999953</v>
      </c>
      <c r="M81" s="2">
        <f t="shared" si="21"/>
        <v>1637459.9999999995</v>
      </c>
      <c r="N81" s="2">
        <f t="shared" si="22"/>
        <v>2169089.9999999995</v>
      </c>
      <c r="O81" s="2">
        <f t="shared" si="23"/>
        <v>1977580.0000000005</v>
      </c>
      <c r="P81" s="2">
        <f t="shared" si="24"/>
        <v>853454.68470868375</v>
      </c>
      <c r="Q81" s="3">
        <f t="shared" si="25"/>
        <v>7392420046.3013659</v>
      </c>
      <c r="R81" s="3">
        <f t="shared" si="26"/>
        <v>11765213569.589035</v>
      </c>
      <c r="S81" s="3">
        <f t="shared" si="27"/>
        <v>2334052054.794518</v>
      </c>
      <c r="T81" s="3">
        <f t="shared" si="28"/>
        <v>7345959593.4246531</v>
      </c>
      <c r="U81" s="3">
        <f t="shared" si="29"/>
        <v>12890277885.205475</v>
      </c>
      <c r="V81" s="3">
        <f t="shared" si="30"/>
        <v>10714582620.273977</v>
      </c>
      <c r="W81" s="3">
        <f t="shared" si="31"/>
        <v>1995575065.3457499</v>
      </c>
      <c r="X81" s="3">
        <f t="shared" si="32"/>
        <v>728384898851.19873</v>
      </c>
      <c r="Y81" s="3">
        <f t="shared" si="33"/>
        <v>23571636866984.426</v>
      </c>
      <c r="AK81">
        <v>1.2539100000000001</v>
      </c>
      <c r="AL81">
        <v>1000000</v>
      </c>
      <c r="AM81">
        <f t="shared" si="34"/>
        <v>1253910</v>
      </c>
      <c r="AN81">
        <v>5.4005799999999997</v>
      </c>
      <c r="AO81">
        <v>1000000</v>
      </c>
      <c r="AP81">
        <f t="shared" si="35"/>
        <v>5400580</v>
      </c>
    </row>
    <row r="82" spans="1:42" x14ac:dyDescent="0.4">
      <c r="A82">
        <v>71</v>
      </c>
      <c r="B82" s="2">
        <v>3746460</v>
      </c>
      <c r="C82" s="2">
        <v>13262200</v>
      </c>
      <c r="D82" s="2">
        <f>IF(B82&lt;2500000,2500000,B82)</f>
        <v>3746460</v>
      </c>
      <c r="E82" s="2">
        <v>8430250</v>
      </c>
      <c r="F82" s="2">
        <v>2024750</v>
      </c>
      <c r="G82" s="2">
        <v>1451150</v>
      </c>
      <c r="H82" s="2">
        <v>3116452.7601567828</v>
      </c>
      <c r="I82" s="2">
        <f>37.17*(100000)</f>
        <v>3717000</v>
      </c>
      <c r="J82" s="2">
        <f t="shared" si="18"/>
        <v>29460</v>
      </c>
      <c r="K82" s="2">
        <f t="shared" si="19"/>
        <v>9545200</v>
      </c>
      <c r="L82" s="2">
        <f t="shared" si="20"/>
        <v>29460</v>
      </c>
      <c r="M82" s="2">
        <f t="shared" si="21"/>
        <v>4713250</v>
      </c>
      <c r="N82" s="2">
        <f t="shared" si="22"/>
        <v>1692250</v>
      </c>
      <c r="O82" s="2">
        <f t="shared" si="23"/>
        <v>2265850</v>
      </c>
      <c r="P82" s="2">
        <f t="shared" si="24"/>
        <v>600547.23984321719</v>
      </c>
      <c r="Q82" s="3">
        <f t="shared" si="25"/>
        <v>2377785.2054794519</v>
      </c>
      <c r="R82" s="3">
        <f t="shared" si="26"/>
        <v>249618748054.79453</v>
      </c>
      <c r="S82" s="3">
        <f t="shared" si="27"/>
        <v>2377785.2054794519</v>
      </c>
      <c r="T82" s="3">
        <f t="shared" si="28"/>
        <v>60862261815.068497</v>
      </c>
      <c r="U82" s="3">
        <f t="shared" si="29"/>
        <v>7845780993.1506853</v>
      </c>
      <c r="V82" s="3">
        <f t="shared" si="30"/>
        <v>14065962253.424658</v>
      </c>
      <c r="W82" s="3">
        <f t="shared" si="31"/>
        <v>988101335.02275789</v>
      </c>
      <c r="X82" s="3">
        <f t="shared" si="32"/>
        <v>360656987283.30664</v>
      </c>
      <c r="Y82" s="3">
        <f t="shared" si="33"/>
        <v>20803295814929.629</v>
      </c>
      <c r="AK82">
        <v>2.02475</v>
      </c>
      <c r="AL82">
        <v>1000000</v>
      </c>
      <c r="AM82">
        <f t="shared" si="34"/>
        <v>2024750</v>
      </c>
      <c r="AN82">
        <v>1.4511499999999999</v>
      </c>
      <c r="AO82">
        <v>1000000</v>
      </c>
      <c r="AP82">
        <f t="shared" si="35"/>
        <v>1451150</v>
      </c>
    </row>
    <row r="83" spans="1:42" x14ac:dyDescent="0.4">
      <c r="A83">
        <v>72</v>
      </c>
      <c r="B83" s="2">
        <v>3069000</v>
      </c>
      <c r="C83" s="2">
        <v>4095049.9999999995</v>
      </c>
      <c r="D83" s="2">
        <f>IF(B83&lt;2500000,2500000,B83)</f>
        <v>3069000</v>
      </c>
      <c r="E83" s="2">
        <v>3181360</v>
      </c>
      <c r="F83" s="2">
        <v>1699090</v>
      </c>
      <c r="G83" s="2">
        <v>1212260</v>
      </c>
      <c r="H83" s="2">
        <v>2622819.198036748</v>
      </c>
      <c r="I83" s="2">
        <f>33.05*(100000)</f>
        <v>3304999.9999999995</v>
      </c>
      <c r="J83" s="2">
        <f t="shared" si="18"/>
        <v>235999.99999999953</v>
      </c>
      <c r="K83" s="2">
        <f t="shared" si="19"/>
        <v>790050</v>
      </c>
      <c r="L83" s="2">
        <f t="shared" si="20"/>
        <v>235999.99999999953</v>
      </c>
      <c r="M83" s="2">
        <f t="shared" si="21"/>
        <v>123639.99999999953</v>
      </c>
      <c r="N83" s="2">
        <f t="shared" si="22"/>
        <v>1605909.9999999995</v>
      </c>
      <c r="O83" s="2">
        <f t="shared" si="23"/>
        <v>2092739.9999999995</v>
      </c>
      <c r="P83" s="2">
        <f t="shared" si="24"/>
        <v>682180.80196325155</v>
      </c>
      <c r="Q83" s="3">
        <f t="shared" si="25"/>
        <v>152591780.82191721</v>
      </c>
      <c r="R83" s="3">
        <f t="shared" si="26"/>
        <v>1710079458.9041095</v>
      </c>
      <c r="S83" s="3">
        <f t="shared" si="27"/>
        <v>152591780.82191721</v>
      </c>
      <c r="T83" s="3">
        <f t="shared" si="28"/>
        <v>41881779.726027086</v>
      </c>
      <c r="U83" s="3">
        <f t="shared" si="29"/>
        <v>7065608022.1917772</v>
      </c>
      <c r="V83" s="3">
        <f t="shared" si="30"/>
        <v>11998796459.178078</v>
      </c>
      <c r="W83" s="3">
        <f t="shared" si="31"/>
        <v>1274988072.7869179</v>
      </c>
      <c r="X83" s="3">
        <f t="shared" si="32"/>
        <v>465370646567.22504</v>
      </c>
      <c r="Y83" s="3">
        <f t="shared" si="33"/>
        <v>24731355738217.301</v>
      </c>
      <c r="AK83">
        <v>1.69909</v>
      </c>
      <c r="AL83">
        <v>1000000</v>
      </c>
      <c r="AM83">
        <f t="shared" si="34"/>
        <v>1699090</v>
      </c>
      <c r="AN83">
        <v>1.2122599999999999</v>
      </c>
      <c r="AO83">
        <v>1000000</v>
      </c>
      <c r="AP83">
        <f t="shared" si="35"/>
        <v>1212260</v>
      </c>
    </row>
    <row r="84" spans="1:42" x14ac:dyDescent="0.4">
      <c r="A84">
        <v>73</v>
      </c>
      <c r="B84" s="2">
        <v>2353680</v>
      </c>
      <c r="C84" s="2">
        <v>1774960</v>
      </c>
      <c r="D84" s="2">
        <f>IF(B84&lt;2500000,2500000,B84)</f>
        <v>2500000</v>
      </c>
      <c r="E84" s="2">
        <v>2405640</v>
      </c>
      <c r="F84" s="2">
        <v>1470190</v>
      </c>
      <c r="G84" s="2">
        <v>1059260</v>
      </c>
      <c r="H84" s="2">
        <v>2659287.6803054102</v>
      </c>
      <c r="I84" s="2">
        <f>32.6*(100000)</f>
        <v>3260000</v>
      </c>
      <c r="J84" s="2">
        <f t="shared" si="18"/>
        <v>906320</v>
      </c>
      <c r="K84" s="2">
        <f t="shared" si="19"/>
        <v>1485040</v>
      </c>
      <c r="L84" s="2">
        <f t="shared" si="20"/>
        <v>760000</v>
      </c>
      <c r="M84" s="2">
        <f t="shared" si="21"/>
        <v>854360</v>
      </c>
      <c r="N84" s="2">
        <f t="shared" si="22"/>
        <v>1789810</v>
      </c>
      <c r="O84" s="2">
        <f t="shared" si="23"/>
        <v>2200740</v>
      </c>
      <c r="P84" s="2">
        <f t="shared" si="24"/>
        <v>600712.31969458982</v>
      </c>
      <c r="Q84" s="3">
        <f t="shared" si="25"/>
        <v>2250454636.7123289</v>
      </c>
      <c r="R84" s="3">
        <f t="shared" si="26"/>
        <v>6042037812.6027393</v>
      </c>
      <c r="S84" s="3">
        <f t="shared" si="27"/>
        <v>1582465753.4246576</v>
      </c>
      <c r="T84" s="3">
        <f t="shared" si="28"/>
        <v>1999810985.2054794</v>
      </c>
      <c r="U84" s="3">
        <f t="shared" si="29"/>
        <v>8776492701.6438351</v>
      </c>
      <c r="V84" s="3">
        <f t="shared" si="30"/>
        <v>13269196020.821918</v>
      </c>
      <c r="W84" s="3">
        <f t="shared" si="31"/>
        <v>988644632.9667263</v>
      </c>
      <c r="X84" s="3">
        <f t="shared" si="32"/>
        <v>360855291032.8551</v>
      </c>
      <c r="Y84" s="3">
        <f t="shared" si="33"/>
        <v>25180956409450.176</v>
      </c>
      <c r="AK84">
        <v>1.4701900000000001</v>
      </c>
      <c r="AL84">
        <v>1000000</v>
      </c>
      <c r="AM84">
        <f t="shared" si="34"/>
        <v>1470190</v>
      </c>
      <c r="AN84">
        <v>1.0592600000000001</v>
      </c>
      <c r="AO84">
        <v>1000000</v>
      </c>
      <c r="AP84">
        <f t="shared" si="35"/>
        <v>1059260</v>
      </c>
    </row>
    <row r="85" spans="1:42" x14ac:dyDescent="0.4">
      <c r="A85">
        <v>74</v>
      </c>
      <c r="B85" s="2">
        <v>5925460</v>
      </c>
      <c r="C85" s="2">
        <v>798433</v>
      </c>
      <c r="D85" s="2">
        <f>IF(B85&lt;2500000,2500000,B85)</f>
        <v>5925460</v>
      </c>
      <c r="E85" s="2">
        <v>1474800</v>
      </c>
      <c r="F85" s="2">
        <v>1283780</v>
      </c>
      <c r="G85" s="2">
        <v>938372</v>
      </c>
      <c r="H85" s="2">
        <v>2601613.5529276072</v>
      </c>
      <c r="I85" s="2">
        <f>33.29*(100000)</f>
        <v>3329000</v>
      </c>
      <c r="J85" s="2">
        <f t="shared" si="18"/>
        <v>2596460</v>
      </c>
      <c r="K85" s="2">
        <f t="shared" si="19"/>
        <v>2530567</v>
      </c>
      <c r="L85" s="2">
        <f t="shared" si="20"/>
        <v>2596460</v>
      </c>
      <c r="M85" s="2">
        <f t="shared" si="21"/>
        <v>1854200</v>
      </c>
      <c r="N85" s="2">
        <f t="shared" si="22"/>
        <v>2045220</v>
      </c>
      <c r="O85" s="2">
        <f t="shared" si="23"/>
        <v>2390628</v>
      </c>
      <c r="P85" s="2">
        <f t="shared" si="24"/>
        <v>727386.4470723928</v>
      </c>
      <c r="Q85" s="3">
        <f t="shared" si="25"/>
        <v>18470149401.643837</v>
      </c>
      <c r="R85" s="3">
        <f t="shared" si="26"/>
        <v>17544573538.326027</v>
      </c>
      <c r="S85" s="3">
        <f t="shared" si="27"/>
        <v>18470149401.643837</v>
      </c>
      <c r="T85" s="3">
        <f t="shared" si="28"/>
        <v>9419336000</v>
      </c>
      <c r="U85" s="3">
        <f t="shared" si="29"/>
        <v>11460068077.80822</v>
      </c>
      <c r="V85" s="3">
        <f t="shared" si="30"/>
        <v>15657814340.778082</v>
      </c>
      <c r="W85" s="3">
        <f t="shared" si="31"/>
        <v>1449564502.4235585</v>
      </c>
      <c r="X85" s="3">
        <f t="shared" si="32"/>
        <v>529091043384.59888</v>
      </c>
      <c r="Y85" s="3">
        <f t="shared" si="33"/>
        <v>24493224713559.766</v>
      </c>
      <c r="AK85">
        <v>1.2837799999999999</v>
      </c>
      <c r="AL85">
        <v>1000000</v>
      </c>
      <c r="AM85">
        <f t="shared" si="34"/>
        <v>1283780</v>
      </c>
      <c r="AN85">
        <v>938372</v>
      </c>
      <c r="AP85">
        <f t="shared" si="35"/>
        <v>938372</v>
      </c>
    </row>
    <row r="86" spans="1:42" x14ac:dyDescent="0.4">
      <c r="A86">
        <v>75</v>
      </c>
      <c r="B86" s="2">
        <v>1071800</v>
      </c>
      <c r="C86" s="2">
        <v>372618</v>
      </c>
      <c r="D86" s="2">
        <f>IF(B86&lt;2500000,2500000,B86)</f>
        <v>2500000</v>
      </c>
      <c r="E86" s="2">
        <v>1053180</v>
      </c>
      <c r="F86" s="2">
        <v>1130890</v>
      </c>
      <c r="G86" s="2">
        <v>840237</v>
      </c>
      <c r="H86" s="2">
        <v>2563929.9631524198</v>
      </c>
      <c r="I86" s="2">
        <f>33.95*(100000)</f>
        <v>3395000.0000000005</v>
      </c>
      <c r="J86" s="2">
        <f t="shared" si="18"/>
        <v>2323200.0000000005</v>
      </c>
      <c r="K86" s="2">
        <f t="shared" si="19"/>
        <v>3022382.0000000005</v>
      </c>
      <c r="L86" s="2">
        <f t="shared" si="20"/>
        <v>895000.00000000047</v>
      </c>
      <c r="M86" s="2">
        <f t="shared" si="21"/>
        <v>2341820.0000000005</v>
      </c>
      <c r="N86" s="2">
        <f t="shared" si="22"/>
        <v>2264110.0000000005</v>
      </c>
      <c r="O86" s="2">
        <f t="shared" si="23"/>
        <v>2554763.0000000005</v>
      </c>
      <c r="P86" s="2">
        <f t="shared" si="24"/>
        <v>831070.03684758069</v>
      </c>
      <c r="Q86" s="3">
        <f t="shared" si="25"/>
        <v>14787008876.712334</v>
      </c>
      <c r="R86" s="3">
        <f t="shared" si="26"/>
        <v>25026830010.75069</v>
      </c>
      <c r="S86" s="3">
        <f t="shared" si="27"/>
        <v>2194589041.0958929</v>
      </c>
      <c r="T86" s="3">
        <f t="shared" si="28"/>
        <v>15024988801.095896</v>
      </c>
      <c r="U86" s="3">
        <f t="shared" si="29"/>
        <v>14044367375.616444</v>
      </c>
      <c r="V86" s="3">
        <f t="shared" si="30"/>
        <v>17881682153.887676</v>
      </c>
      <c r="W86" s="3">
        <f t="shared" si="31"/>
        <v>1892266866.1529839</v>
      </c>
      <c r="X86" s="3">
        <f t="shared" si="32"/>
        <v>690677406145.83911</v>
      </c>
      <c r="Y86" s="3">
        <f t="shared" si="33"/>
        <v>23844304395751.547</v>
      </c>
      <c r="AK86">
        <v>1.13089</v>
      </c>
      <c r="AL86">
        <v>1000000</v>
      </c>
      <c r="AM86">
        <f t="shared" si="34"/>
        <v>1130890</v>
      </c>
      <c r="AN86">
        <v>840237</v>
      </c>
      <c r="AP86">
        <f t="shared" si="35"/>
        <v>840237</v>
      </c>
    </row>
    <row r="87" spans="1:42" x14ac:dyDescent="0.4">
      <c r="A87">
        <v>76</v>
      </c>
      <c r="B87" s="2">
        <v>3929440</v>
      </c>
      <c r="C87" s="2">
        <v>15067100</v>
      </c>
      <c r="D87" s="2">
        <f>IF(B87&lt;2500000,2500000,B87)</f>
        <v>3929440</v>
      </c>
      <c r="E87" s="2">
        <v>4147570</v>
      </c>
      <c r="F87" s="2">
        <v>2087330.0000000002</v>
      </c>
      <c r="G87" s="2">
        <v>1488170</v>
      </c>
      <c r="H87" s="2">
        <v>3215743.8494926631</v>
      </c>
      <c r="I87" s="2">
        <f>41.78*(100000)</f>
        <v>4178000</v>
      </c>
      <c r="J87" s="2">
        <f t="shared" si="18"/>
        <v>248560</v>
      </c>
      <c r="K87" s="2">
        <f t="shared" si="19"/>
        <v>10889100</v>
      </c>
      <c r="L87" s="2">
        <f t="shared" si="20"/>
        <v>248560</v>
      </c>
      <c r="M87" s="2">
        <f t="shared" si="21"/>
        <v>30430</v>
      </c>
      <c r="N87" s="2">
        <f t="shared" si="22"/>
        <v>2090669.9999999998</v>
      </c>
      <c r="O87" s="2">
        <f t="shared" si="23"/>
        <v>2689830</v>
      </c>
      <c r="P87" s="2">
        <f t="shared" si="24"/>
        <v>962256.15050733695</v>
      </c>
      <c r="Q87" s="3">
        <f t="shared" si="25"/>
        <v>169265955.06849316</v>
      </c>
      <c r="R87" s="3">
        <f t="shared" si="26"/>
        <v>324856161123.28766</v>
      </c>
      <c r="S87" s="3">
        <f t="shared" si="27"/>
        <v>169265955.06849316</v>
      </c>
      <c r="T87" s="3">
        <f t="shared" si="28"/>
        <v>2536944.9315068494</v>
      </c>
      <c r="U87" s="3">
        <f t="shared" si="29"/>
        <v>11975071366.849312</v>
      </c>
      <c r="V87" s="3">
        <f t="shared" si="30"/>
        <v>19822425832.602741</v>
      </c>
      <c r="W87" s="3">
        <f t="shared" si="31"/>
        <v>2536813422.436161</v>
      </c>
      <c r="X87" s="3">
        <f t="shared" si="32"/>
        <v>925936899189.19873</v>
      </c>
      <c r="Y87" s="3">
        <f t="shared" si="33"/>
        <v>16810516716299.492</v>
      </c>
      <c r="AK87">
        <v>2.0873300000000001</v>
      </c>
      <c r="AL87">
        <v>1000000</v>
      </c>
      <c r="AM87">
        <f t="shared" si="34"/>
        <v>2087330.0000000002</v>
      </c>
      <c r="AN87">
        <v>1.48817</v>
      </c>
      <c r="AO87">
        <v>1000000</v>
      </c>
      <c r="AP87">
        <f t="shared" si="35"/>
        <v>1488170</v>
      </c>
    </row>
    <row r="88" spans="1:42" x14ac:dyDescent="0.4">
      <c r="A88">
        <v>77</v>
      </c>
      <c r="B88" s="2">
        <v>4412970</v>
      </c>
      <c r="C88" s="2">
        <v>9791430</v>
      </c>
      <c r="D88" s="2">
        <f>IF(B88&lt;2500000,2500000,B88)</f>
        <v>4412970</v>
      </c>
      <c r="E88" s="2">
        <v>9160220</v>
      </c>
      <c r="F88" s="2">
        <v>2132610</v>
      </c>
      <c r="G88" s="2">
        <v>1498120</v>
      </c>
      <c r="H88" s="2">
        <v>2863368.8312980551</v>
      </c>
      <c r="I88" s="2">
        <f>31.89*(100000)</f>
        <v>3189000</v>
      </c>
      <c r="J88" s="2">
        <f t="shared" si="18"/>
        <v>1223970</v>
      </c>
      <c r="K88" s="2">
        <f t="shared" si="19"/>
        <v>6602430</v>
      </c>
      <c r="L88" s="2">
        <f t="shared" si="20"/>
        <v>1223970</v>
      </c>
      <c r="M88" s="2">
        <f t="shared" si="21"/>
        <v>5971220</v>
      </c>
      <c r="N88" s="2">
        <f t="shared" si="22"/>
        <v>1056390</v>
      </c>
      <c r="O88" s="2">
        <f t="shared" si="23"/>
        <v>1690880</v>
      </c>
      <c r="P88" s="2">
        <f t="shared" si="24"/>
        <v>325631.16870194487</v>
      </c>
      <c r="Q88" s="3">
        <f t="shared" si="25"/>
        <v>4104390577.808219</v>
      </c>
      <c r="R88" s="3">
        <f t="shared" si="26"/>
        <v>119430361383.28767</v>
      </c>
      <c r="S88" s="3">
        <f t="shared" si="27"/>
        <v>4104390577.808219</v>
      </c>
      <c r="T88" s="3">
        <f t="shared" si="28"/>
        <v>97686214488.76712</v>
      </c>
      <c r="U88" s="3">
        <f t="shared" si="29"/>
        <v>3057424197.5342464</v>
      </c>
      <c r="V88" s="3">
        <f t="shared" si="30"/>
        <v>7833082669.5890408</v>
      </c>
      <c r="W88" s="3">
        <f t="shared" si="31"/>
        <v>290508652.13751912</v>
      </c>
      <c r="X88" s="3">
        <f t="shared" si="32"/>
        <v>106035658030.19449</v>
      </c>
      <c r="Y88" s="3">
        <f t="shared" si="33"/>
        <v>25898562357395.383</v>
      </c>
      <c r="AK88">
        <v>2.1326100000000001</v>
      </c>
      <c r="AL88">
        <v>1000000</v>
      </c>
      <c r="AM88">
        <f t="shared" si="34"/>
        <v>2132610</v>
      </c>
      <c r="AN88">
        <v>1.4981199999999999</v>
      </c>
      <c r="AO88">
        <v>1000000</v>
      </c>
      <c r="AP88">
        <f t="shared" si="35"/>
        <v>1498120</v>
      </c>
    </row>
    <row r="89" spans="1:42" x14ac:dyDescent="0.4">
      <c r="A89">
        <v>78</v>
      </c>
      <c r="B89" s="2">
        <v>3597740</v>
      </c>
      <c r="C89" s="2">
        <v>3553830</v>
      </c>
      <c r="D89" s="2">
        <f>IF(B89&lt;2500000,2500000,B89)</f>
        <v>3597740</v>
      </c>
      <c r="E89" s="2">
        <v>3722710</v>
      </c>
      <c r="F89" s="2">
        <v>1804470</v>
      </c>
      <c r="G89" s="2">
        <v>1265610</v>
      </c>
      <c r="H89" s="2">
        <v>2720604.1233448512</v>
      </c>
      <c r="I89" s="2">
        <f>32.21*(100000)</f>
        <v>3221000</v>
      </c>
      <c r="J89" s="2">
        <f t="shared" si="18"/>
        <v>376740</v>
      </c>
      <c r="K89" s="2">
        <f t="shared" si="19"/>
        <v>332830</v>
      </c>
      <c r="L89" s="2">
        <f t="shared" si="20"/>
        <v>376740</v>
      </c>
      <c r="M89" s="2">
        <f t="shared" si="21"/>
        <v>501710</v>
      </c>
      <c r="N89" s="2">
        <f t="shared" si="22"/>
        <v>1416530</v>
      </c>
      <c r="O89" s="2">
        <f t="shared" si="23"/>
        <v>1955390</v>
      </c>
      <c r="P89" s="2">
        <f t="shared" si="24"/>
        <v>500395.87665514881</v>
      </c>
      <c r="Q89" s="3">
        <f t="shared" si="25"/>
        <v>388857609.86301368</v>
      </c>
      <c r="R89" s="3">
        <f t="shared" si="26"/>
        <v>303495366.84931505</v>
      </c>
      <c r="S89" s="3">
        <f t="shared" si="27"/>
        <v>388857609.86301368</v>
      </c>
      <c r="T89" s="3">
        <f t="shared" si="28"/>
        <v>689624449.58904111</v>
      </c>
      <c r="U89" s="3">
        <f t="shared" si="29"/>
        <v>5497417098.356164</v>
      </c>
      <c r="V89" s="3">
        <f t="shared" si="30"/>
        <v>10475479594.794521</v>
      </c>
      <c r="W89" s="3">
        <f t="shared" si="31"/>
        <v>686016529.79034221</v>
      </c>
      <c r="X89" s="3">
        <f t="shared" si="32"/>
        <v>250396033373.47491</v>
      </c>
      <c r="Y89" s="3">
        <f t="shared" si="33"/>
        <v>25573886324518.672</v>
      </c>
      <c r="AK89">
        <v>1.80447</v>
      </c>
      <c r="AL89">
        <v>1000000</v>
      </c>
      <c r="AM89">
        <f t="shared" si="34"/>
        <v>1804470</v>
      </c>
      <c r="AN89">
        <v>1.2656099999999999</v>
      </c>
      <c r="AO89">
        <v>1000000</v>
      </c>
      <c r="AP89">
        <f t="shared" si="35"/>
        <v>1265610</v>
      </c>
    </row>
    <row r="90" spans="1:42" x14ac:dyDescent="0.4">
      <c r="A90">
        <v>79</v>
      </c>
      <c r="B90" s="2">
        <v>7236220</v>
      </c>
      <c r="C90" s="2">
        <v>2323790</v>
      </c>
      <c r="D90" s="2">
        <f>IF(B90&lt;2500000,2500000,B90)</f>
        <v>7236220</v>
      </c>
      <c r="E90" s="2">
        <v>2818380</v>
      </c>
      <c r="F90" s="2">
        <v>1624340</v>
      </c>
      <c r="G90" s="2">
        <v>5634370</v>
      </c>
      <c r="H90" s="2">
        <v>2728859.8340713321</v>
      </c>
      <c r="I90" s="2">
        <f>52.48*(100000)</f>
        <v>5248000</v>
      </c>
      <c r="J90" s="2">
        <f t="shared" si="18"/>
        <v>1988220</v>
      </c>
      <c r="K90" s="2">
        <f t="shared" si="19"/>
        <v>2924210</v>
      </c>
      <c r="L90" s="2">
        <f t="shared" si="20"/>
        <v>1988220</v>
      </c>
      <c r="M90" s="2">
        <f t="shared" si="21"/>
        <v>2429620</v>
      </c>
      <c r="N90" s="2">
        <f t="shared" si="22"/>
        <v>3623660</v>
      </c>
      <c r="O90" s="2">
        <f t="shared" si="23"/>
        <v>386370</v>
      </c>
      <c r="P90" s="2">
        <f t="shared" si="24"/>
        <v>2519140.1659286679</v>
      </c>
      <c r="Q90" s="3">
        <f t="shared" si="25"/>
        <v>10830188406.575342</v>
      </c>
      <c r="R90" s="3">
        <f t="shared" si="26"/>
        <v>23427408559.178082</v>
      </c>
      <c r="S90" s="3">
        <f t="shared" si="27"/>
        <v>10830188406.575342</v>
      </c>
      <c r="T90" s="3">
        <f t="shared" si="28"/>
        <v>16172748888.767124</v>
      </c>
      <c r="U90" s="3">
        <f t="shared" si="29"/>
        <v>35975100809.863014</v>
      </c>
      <c r="V90" s="3">
        <f t="shared" si="30"/>
        <v>408991169.58904111</v>
      </c>
      <c r="W90" s="3">
        <f t="shared" si="31"/>
        <v>17386485412.589359</v>
      </c>
      <c r="X90" s="3">
        <f t="shared" si="32"/>
        <v>6346067175595.1162</v>
      </c>
      <c r="Y90" s="3">
        <f t="shared" si="33"/>
        <v>9181281866984.4238</v>
      </c>
      <c r="AK90">
        <v>1.6243399999999999</v>
      </c>
      <c r="AL90">
        <v>1000000</v>
      </c>
      <c r="AM90">
        <f t="shared" si="34"/>
        <v>1624340</v>
      </c>
      <c r="AN90">
        <v>5.6343699999999997</v>
      </c>
      <c r="AO90">
        <v>1000000</v>
      </c>
      <c r="AP90">
        <f t="shared" si="35"/>
        <v>5634370</v>
      </c>
    </row>
    <row r="91" spans="1:42" x14ac:dyDescent="0.4">
      <c r="A91">
        <v>80</v>
      </c>
      <c r="B91" s="2">
        <v>11917100</v>
      </c>
      <c r="C91" s="2">
        <v>50087700</v>
      </c>
      <c r="D91" s="2">
        <f>IF(B91&lt;2500000,2500000,B91)</f>
        <v>11917100</v>
      </c>
      <c r="E91" s="2">
        <v>12780300</v>
      </c>
      <c r="F91" s="2">
        <v>5008990</v>
      </c>
      <c r="G91" s="2">
        <v>3433720</v>
      </c>
      <c r="H91" s="2">
        <v>7197449.4296552027</v>
      </c>
      <c r="I91" s="2">
        <f>69.09*(100000)</f>
        <v>6909000</v>
      </c>
      <c r="J91" s="2">
        <f t="shared" si="18"/>
        <v>5008100</v>
      </c>
      <c r="K91" s="2">
        <f t="shared" si="19"/>
        <v>43178700</v>
      </c>
      <c r="L91" s="2">
        <f t="shared" si="20"/>
        <v>5008100</v>
      </c>
      <c r="M91" s="2">
        <f t="shared" si="21"/>
        <v>5871300</v>
      </c>
      <c r="N91" s="2">
        <f t="shared" si="22"/>
        <v>1900010</v>
      </c>
      <c r="O91" s="2">
        <f t="shared" si="23"/>
        <v>3475280</v>
      </c>
      <c r="P91" s="2">
        <f t="shared" si="24"/>
        <v>288449.42965520266</v>
      </c>
      <c r="Q91" s="3">
        <f t="shared" si="25"/>
        <v>68715248246.57534</v>
      </c>
      <c r="R91" s="3">
        <f t="shared" si="26"/>
        <v>5107945571753.4248</v>
      </c>
      <c r="S91" s="3">
        <f t="shared" si="27"/>
        <v>68715248246.57534</v>
      </c>
      <c r="T91" s="3">
        <f t="shared" si="28"/>
        <v>94444284082.191788</v>
      </c>
      <c r="U91" s="3">
        <f t="shared" si="29"/>
        <v>9890515068.7671242</v>
      </c>
      <c r="V91" s="3">
        <f t="shared" si="30"/>
        <v>33089235831.232876</v>
      </c>
      <c r="W91" s="3">
        <f t="shared" si="31"/>
        <v>227953625.94085401</v>
      </c>
      <c r="X91" s="3">
        <f t="shared" si="32"/>
        <v>83203073468.411713</v>
      </c>
      <c r="Y91" s="3">
        <f t="shared" si="33"/>
        <v>1874333535477.5752</v>
      </c>
      <c r="AK91">
        <v>5.0089899999999998</v>
      </c>
      <c r="AL91">
        <v>1000000</v>
      </c>
      <c r="AM91">
        <f t="shared" si="34"/>
        <v>5008990</v>
      </c>
      <c r="AN91">
        <v>3.4337200000000001</v>
      </c>
      <c r="AO91">
        <v>1000000</v>
      </c>
      <c r="AP91">
        <f t="shared" si="35"/>
        <v>3433720</v>
      </c>
    </row>
    <row r="92" spans="1:42" x14ac:dyDescent="0.4">
      <c r="A92">
        <v>81</v>
      </c>
      <c r="B92" s="2">
        <v>14684100</v>
      </c>
      <c r="C92" s="2">
        <v>20966500</v>
      </c>
      <c r="D92" s="2">
        <f>IF(B92&lt;2500000,2500000,B92)</f>
        <v>14684100</v>
      </c>
      <c r="E92" s="2">
        <v>15510600</v>
      </c>
      <c r="F92" s="2">
        <v>4263960</v>
      </c>
      <c r="G92" s="2">
        <v>2894600</v>
      </c>
      <c r="H92" s="2">
        <v>4646726.8070332333</v>
      </c>
      <c r="I92" s="2">
        <f>52.37*(100000)</f>
        <v>5237000</v>
      </c>
      <c r="J92" s="2">
        <f t="shared" si="18"/>
        <v>9447100</v>
      </c>
      <c r="K92" s="2">
        <f t="shared" si="19"/>
        <v>15729500</v>
      </c>
      <c r="L92" s="2">
        <f t="shared" si="20"/>
        <v>9447100</v>
      </c>
      <c r="M92" s="2">
        <f t="shared" si="21"/>
        <v>10273600</v>
      </c>
      <c r="N92" s="2">
        <f t="shared" si="22"/>
        <v>973040</v>
      </c>
      <c r="O92" s="2">
        <f t="shared" si="23"/>
        <v>2342400</v>
      </c>
      <c r="P92" s="2">
        <f t="shared" si="24"/>
        <v>590273.19296676666</v>
      </c>
      <c r="Q92" s="3">
        <f t="shared" si="25"/>
        <v>244514242219.17807</v>
      </c>
      <c r="R92" s="3">
        <f t="shared" si="26"/>
        <v>677855260958.90405</v>
      </c>
      <c r="S92" s="3">
        <f t="shared" si="27"/>
        <v>244514242219.17807</v>
      </c>
      <c r="T92" s="3">
        <f t="shared" si="28"/>
        <v>289169471123.28766</v>
      </c>
      <c r="U92" s="3">
        <f t="shared" si="29"/>
        <v>2593991346.8493152</v>
      </c>
      <c r="V92" s="3">
        <f t="shared" si="30"/>
        <v>15032432219.178082</v>
      </c>
      <c r="W92" s="3">
        <f t="shared" si="31"/>
        <v>954582033.79501855</v>
      </c>
      <c r="X92" s="3">
        <f t="shared" si="32"/>
        <v>348422442335.18176</v>
      </c>
      <c r="Y92" s="3">
        <f t="shared" si="33"/>
        <v>9248064253285.7949</v>
      </c>
      <c r="AK92">
        <v>4.26396</v>
      </c>
      <c r="AL92">
        <v>1000000</v>
      </c>
      <c r="AM92">
        <f t="shared" si="34"/>
        <v>4263960</v>
      </c>
      <c r="AN92">
        <v>2.8946000000000001</v>
      </c>
      <c r="AO92">
        <v>1000000</v>
      </c>
      <c r="AP92">
        <f t="shared" si="35"/>
        <v>2894600</v>
      </c>
    </row>
    <row r="93" spans="1:42" x14ac:dyDescent="0.4">
      <c r="A93">
        <v>82</v>
      </c>
      <c r="B93" s="2">
        <v>16121700</v>
      </c>
      <c r="C93" s="2">
        <v>41388500</v>
      </c>
      <c r="D93" s="2">
        <f>IF(B93&lt;2500000,2500000,B93)</f>
        <v>16121700</v>
      </c>
      <c r="E93" s="2">
        <v>21556200</v>
      </c>
      <c r="F93" s="2">
        <v>6106840</v>
      </c>
      <c r="G93" s="2">
        <v>4133370</v>
      </c>
      <c r="H93" s="2">
        <v>7965615.753300474</v>
      </c>
      <c r="I93" s="2">
        <f>46.41*(100000)</f>
        <v>4641000</v>
      </c>
      <c r="J93" s="2">
        <f t="shared" si="18"/>
        <v>11480700</v>
      </c>
      <c r="K93" s="2">
        <f t="shared" si="19"/>
        <v>36747500</v>
      </c>
      <c r="L93" s="2">
        <f t="shared" si="20"/>
        <v>11480700</v>
      </c>
      <c r="M93" s="2">
        <f t="shared" si="21"/>
        <v>16915200</v>
      </c>
      <c r="N93" s="2">
        <f t="shared" si="22"/>
        <v>1465840</v>
      </c>
      <c r="O93" s="2">
        <f t="shared" si="23"/>
        <v>507630</v>
      </c>
      <c r="P93" s="2">
        <f t="shared" si="24"/>
        <v>3324615.753300474</v>
      </c>
      <c r="Q93" s="3">
        <f t="shared" si="25"/>
        <v>361113623260.27399</v>
      </c>
      <c r="R93" s="3">
        <f t="shared" si="26"/>
        <v>3699667825342.4658</v>
      </c>
      <c r="S93" s="3">
        <f t="shared" si="27"/>
        <v>361113623260.27399</v>
      </c>
      <c r="T93" s="3">
        <f t="shared" si="28"/>
        <v>783901345315.06848</v>
      </c>
      <c r="U93" s="3">
        <f t="shared" si="29"/>
        <v>5886813440</v>
      </c>
      <c r="V93" s="3">
        <f t="shared" si="30"/>
        <v>705995114.7945205</v>
      </c>
      <c r="W93" s="3">
        <f t="shared" si="31"/>
        <v>30282383307.105965</v>
      </c>
      <c r="X93" s="3">
        <f t="shared" si="32"/>
        <v>11053069907093.678</v>
      </c>
      <c r="Y93" s="3">
        <f t="shared" si="33"/>
        <v>13228227365614.561</v>
      </c>
      <c r="AK93">
        <v>6.10684</v>
      </c>
      <c r="AL93">
        <v>1000000</v>
      </c>
      <c r="AM93">
        <f t="shared" si="34"/>
        <v>6106840</v>
      </c>
      <c r="AN93">
        <v>4.1333700000000002</v>
      </c>
      <c r="AO93">
        <v>1000000</v>
      </c>
      <c r="AP93">
        <f t="shared" si="35"/>
        <v>4133370</v>
      </c>
    </row>
    <row r="94" spans="1:42" x14ac:dyDescent="0.4">
      <c r="A94">
        <v>83</v>
      </c>
      <c r="B94" s="2">
        <v>18603300</v>
      </c>
      <c r="C94" s="2">
        <v>19234100</v>
      </c>
      <c r="D94" s="2">
        <f>IF(B94&lt;2500000,2500000,B94)</f>
        <v>18603300</v>
      </c>
      <c r="E94" s="2">
        <v>14569600</v>
      </c>
      <c r="F94" s="2">
        <v>5389700</v>
      </c>
      <c r="G94" s="2">
        <v>8110950.0000000009</v>
      </c>
      <c r="H94" s="2">
        <v>6182396.2906985441</v>
      </c>
      <c r="I94" s="2">
        <f>50.99*(100000)</f>
        <v>5099000</v>
      </c>
      <c r="J94" s="2">
        <f t="shared" si="18"/>
        <v>13504300</v>
      </c>
      <c r="K94" s="2">
        <f t="shared" si="19"/>
        <v>14135100</v>
      </c>
      <c r="L94" s="2">
        <f t="shared" si="20"/>
        <v>13504300</v>
      </c>
      <c r="M94" s="2">
        <f t="shared" si="21"/>
        <v>9470600</v>
      </c>
      <c r="N94" s="2">
        <f t="shared" si="22"/>
        <v>290700</v>
      </c>
      <c r="O94" s="2">
        <f t="shared" si="23"/>
        <v>3011950.0000000009</v>
      </c>
      <c r="P94" s="2">
        <f t="shared" si="24"/>
        <v>1083396.2906985441</v>
      </c>
      <c r="Q94" s="3">
        <f t="shared" si="25"/>
        <v>499633201342.46576</v>
      </c>
      <c r="R94" s="3">
        <f t="shared" si="26"/>
        <v>547400142493.1507</v>
      </c>
      <c r="S94" s="3">
        <f t="shared" si="27"/>
        <v>499633201342.46576</v>
      </c>
      <c r="T94" s="3">
        <f t="shared" si="28"/>
        <v>245732231123.28766</v>
      </c>
      <c r="U94" s="3">
        <f t="shared" si="29"/>
        <v>231524630.13698632</v>
      </c>
      <c r="V94" s="3">
        <f t="shared" si="30"/>
        <v>24854363842.465771</v>
      </c>
      <c r="W94" s="3">
        <f t="shared" si="31"/>
        <v>3215746637.532505</v>
      </c>
      <c r="X94" s="3">
        <f t="shared" si="32"/>
        <v>1173747522699.3643</v>
      </c>
      <c r="Y94" s="3">
        <f t="shared" si="33"/>
        <v>10106441645066.615</v>
      </c>
      <c r="AK94">
        <v>5.3897000000000004</v>
      </c>
      <c r="AL94">
        <v>1000000</v>
      </c>
      <c r="AM94">
        <f t="shared" si="34"/>
        <v>5389700</v>
      </c>
      <c r="AN94">
        <v>8.1109500000000008</v>
      </c>
      <c r="AO94">
        <v>1000000</v>
      </c>
      <c r="AP94">
        <f t="shared" si="35"/>
        <v>8110950.0000000009</v>
      </c>
    </row>
    <row r="95" spans="1:42" x14ac:dyDescent="0.4">
      <c r="A95">
        <v>84</v>
      </c>
      <c r="B95" s="2">
        <v>16778000</v>
      </c>
      <c r="C95" s="2">
        <v>9649040</v>
      </c>
      <c r="D95" s="2">
        <f>IF(B95&lt;2500000,2500000,B95)</f>
        <v>16778000</v>
      </c>
      <c r="E95" s="2">
        <v>17414000</v>
      </c>
      <c r="F95" s="2">
        <v>4789840</v>
      </c>
      <c r="G95" s="2">
        <v>3222720</v>
      </c>
      <c r="H95" s="2">
        <v>5778106.4614706039</v>
      </c>
      <c r="I95" s="2">
        <f>73.18*(100000)</f>
        <v>7318000.0000000009</v>
      </c>
      <c r="J95" s="2">
        <f t="shared" si="18"/>
        <v>9460000</v>
      </c>
      <c r="K95" s="2">
        <f t="shared" si="19"/>
        <v>2331039.9999999991</v>
      </c>
      <c r="L95" s="2">
        <f t="shared" si="20"/>
        <v>9460000</v>
      </c>
      <c r="M95" s="2">
        <f t="shared" si="21"/>
        <v>10096000</v>
      </c>
      <c r="N95" s="2">
        <f t="shared" si="22"/>
        <v>2528160.0000000009</v>
      </c>
      <c r="O95" s="2">
        <f t="shared" si="23"/>
        <v>4095280.0000000009</v>
      </c>
      <c r="P95" s="2">
        <f t="shared" si="24"/>
        <v>1539893.538529397</v>
      </c>
      <c r="Q95" s="3">
        <f t="shared" si="25"/>
        <v>245182465753.42465</v>
      </c>
      <c r="R95" s="3">
        <f t="shared" si="26"/>
        <v>14886979401.643826</v>
      </c>
      <c r="S95" s="3">
        <f t="shared" si="27"/>
        <v>245182465753.42465</v>
      </c>
      <c r="T95" s="3">
        <f t="shared" si="28"/>
        <v>279258126027.39728</v>
      </c>
      <c r="U95" s="3">
        <f t="shared" si="29"/>
        <v>17511213659.178097</v>
      </c>
      <c r="V95" s="3">
        <f t="shared" si="30"/>
        <v>45948817201.095909</v>
      </c>
      <c r="W95" s="3">
        <f t="shared" si="31"/>
        <v>6496635917.8207874</v>
      </c>
      <c r="X95" s="3">
        <f t="shared" si="32"/>
        <v>2371272110004.5874</v>
      </c>
      <c r="Y95" s="3">
        <f t="shared" si="33"/>
        <v>921720990272.09412</v>
      </c>
      <c r="AK95">
        <v>4.7898399999999999</v>
      </c>
      <c r="AL95">
        <v>1000000</v>
      </c>
      <c r="AM95">
        <f t="shared" si="34"/>
        <v>4789840</v>
      </c>
      <c r="AN95">
        <v>3.2227199999999998</v>
      </c>
      <c r="AO95">
        <v>1000000</v>
      </c>
      <c r="AP95">
        <f t="shared" si="35"/>
        <v>3222720</v>
      </c>
    </row>
    <row r="96" spans="1:42" x14ac:dyDescent="0.4">
      <c r="A96">
        <v>85</v>
      </c>
      <c r="B96" s="2">
        <v>13363600</v>
      </c>
      <c r="C96" s="2">
        <v>26301900</v>
      </c>
      <c r="D96" s="2">
        <f>IF(B96&lt;2500000,2500000,B96)</f>
        <v>13363600</v>
      </c>
      <c r="E96" s="2">
        <v>18472200</v>
      </c>
      <c r="F96" s="2">
        <v>5431460</v>
      </c>
      <c r="G96" s="2">
        <v>3663520</v>
      </c>
      <c r="H96" s="2">
        <v>6962317.5606945241</v>
      </c>
      <c r="I96" s="2">
        <f>63.13*(100000)</f>
        <v>6313000</v>
      </c>
      <c r="J96" s="2">
        <f t="shared" si="18"/>
        <v>7050600</v>
      </c>
      <c r="K96" s="2">
        <f t="shared" si="19"/>
        <v>19988900</v>
      </c>
      <c r="L96" s="2">
        <f t="shared" si="20"/>
        <v>7050600</v>
      </c>
      <c r="M96" s="2">
        <f t="shared" si="21"/>
        <v>12159200</v>
      </c>
      <c r="N96" s="2">
        <f t="shared" si="22"/>
        <v>881540</v>
      </c>
      <c r="O96" s="2">
        <f t="shared" si="23"/>
        <v>2649480</v>
      </c>
      <c r="P96" s="2">
        <f t="shared" si="24"/>
        <v>649317.56069452409</v>
      </c>
      <c r="Q96" s="3">
        <f t="shared" si="25"/>
        <v>136194411945.20547</v>
      </c>
      <c r="R96" s="3">
        <f t="shared" si="26"/>
        <v>1094674310164.3835</v>
      </c>
      <c r="S96" s="3">
        <f t="shared" si="27"/>
        <v>136194411945.20547</v>
      </c>
      <c r="T96" s="3">
        <f t="shared" si="28"/>
        <v>405057930520.54797</v>
      </c>
      <c r="U96" s="3">
        <f t="shared" si="29"/>
        <v>2129076086.5753424</v>
      </c>
      <c r="V96" s="3">
        <f t="shared" si="30"/>
        <v>19232176083.28767</v>
      </c>
      <c r="W96" s="3">
        <f t="shared" si="31"/>
        <v>1155104916.784348</v>
      </c>
      <c r="X96" s="3">
        <f t="shared" si="32"/>
        <v>421613294626.28699</v>
      </c>
      <c r="Y96" s="3">
        <f t="shared" si="33"/>
        <v>3861472647806.3423</v>
      </c>
      <c r="AK96">
        <v>5.4314600000000004</v>
      </c>
      <c r="AL96">
        <v>1000000</v>
      </c>
      <c r="AM96">
        <f t="shared" si="34"/>
        <v>5431460</v>
      </c>
      <c r="AN96">
        <v>3.6635200000000001</v>
      </c>
      <c r="AO96">
        <v>1000000</v>
      </c>
      <c r="AP96">
        <f t="shared" si="35"/>
        <v>3663520</v>
      </c>
    </row>
    <row r="97" spans="1:42" x14ac:dyDescent="0.4">
      <c r="A97">
        <v>86</v>
      </c>
      <c r="B97" s="2">
        <v>15322700</v>
      </c>
      <c r="C97" s="2">
        <v>7628880</v>
      </c>
      <c r="D97" s="2">
        <f>IF(B97&lt;2500000,2500000,B97)</f>
        <v>15322700</v>
      </c>
      <c r="E97" s="2">
        <v>10873200</v>
      </c>
      <c r="F97" s="2">
        <v>4653260</v>
      </c>
      <c r="G97" s="2">
        <v>7616230</v>
      </c>
      <c r="H97" s="2">
        <v>5480363.5683469251</v>
      </c>
      <c r="I97" s="2">
        <f>51.13*(100000)</f>
        <v>5113000</v>
      </c>
      <c r="J97" s="2">
        <f t="shared" si="18"/>
        <v>10209700</v>
      </c>
      <c r="K97" s="2">
        <f t="shared" si="19"/>
        <v>2515880</v>
      </c>
      <c r="L97" s="2">
        <f t="shared" si="20"/>
        <v>10209700</v>
      </c>
      <c r="M97" s="2">
        <f t="shared" si="21"/>
        <v>5760200</v>
      </c>
      <c r="N97" s="2">
        <f t="shared" si="22"/>
        <v>459740</v>
      </c>
      <c r="O97" s="2">
        <f t="shared" si="23"/>
        <v>2503230</v>
      </c>
      <c r="P97" s="2">
        <f t="shared" si="24"/>
        <v>367363.56834692508</v>
      </c>
      <c r="Q97" s="3">
        <f t="shared" si="25"/>
        <v>285583490657.53424</v>
      </c>
      <c r="R97" s="3">
        <f t="shared" si="26"/>
        <v>17341512806.575344</v>
      </c>
      <c r="S97" s="3">
        <f t="shared" si="27"/>
        <v>285583490657.53424</v>
      </c>
      <c r="T97" s="3">
        <f t="shared" si="28"/>
        <v>90903846684.931503</v>
      </c>
      <c r="U97" s="3">
        <f t="shared" si="29"/>
        <v>579070870.13698626</v>
      </c>
      <c r="V97" s="3">
        <f t="shared" si="30"/>
        <v>17167562829.863014</v>
      </c>
      <c r="W97" s="3">
        <f t="shared" si="31"/>
        <v>369742442.05092025</v>
      </c>
      <c r="X97" s="3">
        <f t="shared" si="32"/>
        <v>134955991348.58589</v>
      </c>
      <c r="Y97" s="3">
        <f t="shared" si="33"/>
        <v>10017623880683.055</v>
      </c>
      <c r="AK97">
        <v>4.6532600000000004</v>
      </c>
      <c r="AL97">
        <v>1000000</v>
      </c>
      <c r="AM97">
        <f t="shared" si="34"/>
        <v>4653260</v>
      </c>
      <c r="AN97">
        <v>7.6162299999999998</v>
      </c>
      <c r="AO97">
        <v>1000000</v>
      </c>
      <c r="AP97">
        <f t="shared" si="35"/>
        <v>7616230</v>
      </c>
    </row>
    <row r="98" spans="1:42" x14ac:dyDescent="0.4">
      <c r="A98">
        <v>87</v>
      </c>
      <c r="B98" s="2">
        <v>13031400</v>
      </c>
      <c r="C98" s="2">
        <v>3270980</v>
      </c>
      <c r="D98" s="2">
        <f>IF(B98&lt;2500000,2500000,B98)</f>
        <v>13031400</v>
      </c>
      <c r="E98" s="2">
        <v>13301600</v>
      </c>
      <c r="F98" s="2">
        <v>4048310</v>
      </c>
      <c r="G98" s="2">
        <v>2756950</v>
      </c>
      <c r="H98" s="2">
        <v>4944765.565832736</v>
      </c>
      <c r="I98" s="2">
        <f>44.81*(100000)</f>
        <v>4481000</v>
      </c>
      <c r="J98" s="2">
        <f t="shared" si="18"/>
        <v>8550400</v>
      </c>
      <c r="K98" s="2">
        <f t="shared" si="19"/>
        <v>1210020</v>
      </c>
      <c r="L98" s="2">
        <f t="shared" si="20"/>
        <v>8550400</v>
      </c>
      <c r="M98" s="2">
        <f t="shared" si="21"/>
        <v>8820600</v>
      </c>
      <c r="N98" s="2">
        <f t="shared" si="22"/>
        <v>432690</v>
      </c>
      <c r="O98" s="2">
        <f t="shared" si="23"/>
        <v>1724050</v>
      </c>
      <c r="P98" s="2">
        <f t="shared" si="24"/>
        <v>463765.56583273597</v>
      </c>
      <c r="Q98" s="3">
        <f t="shared" si="25"/>
        <v>200299562082.19177</v>
      </c>
      <c r="R98" s="3">
        <f t="shared" si="26"/>
        <v>4011365480.547945</v>
      </c>
      <c r="S98" s="3">
        <f t="shared" si="27"/>
        <v>200299562082.19177</v>
      </c>
      <c r="T98" s="3">
        <f t="shared" si="28"/>
        <v>213158861260.27399</v>
      </c>
      <c r="U98" s="3">
        <f t="shared" si="29"/>
        <v>512933249.58904111</v>
      </c>
      <c r="V98" s="3">
        <f t="shared" si="30"/>
        <v>8143420280.8219175</v>
      </c>
      <c r="W98" s="3">
        <f t="shared" si="31"/>
        <v>589256164.52645969</v>
      </c>
      <c r="X98" s="3">
        <f t="shared" si="32"/>
        <v>215078500052.15778</v>
      </c>
      <c r="Y98" s="3">
        <f t="shared" si="33"/>
        <v>14417687529998.123</v>
      </c>
      <c r="AK98">
        <v>4.0483099999999999</v>
      </c>
      <c r="AL98">
        <v>1000000</v>
      </c>
      <c r="AM98">
        <f t="shared" si="34"/>
        <v>4048310</v>
      </c>
      <c r="AN98">
        <v>2.7569499999999998</v>
      </c>
      <c r="AO98">
        <v>1000000</v>
      </c>
      <c r="AP98">
        <f t="shared" si="35"/>
        <v>2756950</v>
      </c>
    </row>
    <row r="99" spans="1:42" x14ac:dyDescent="0.4">
      <c r="A99">
        <v>88</v>
      </c>
      <c r="B99" s="2">
        <v>6375990</v>
      </c>
      <c r="C99" s="2">
        <v>1477200</v>
      </c>
      <c r="D99" s="2">
        <f>IF(B99&lt;2500000,2500000,B99)</f>
        <v>6375990</v>
      </c>
      <c r="E99" s="2">
        <v>6385530</v>
      </c>
      <c r="F99" s="2">
        <v>3550640</v>
      </c>
      <c r="G99" s="2">
        <v>2451530</v>
      </c>
      <c r="H99" s="2">
        <v>4649764.6210689805</v>
      </c>
      <c r="I99" s="2">
        <f>40.94*(100000)</f>
        <v>4094000</v>
      </c>
      <c r="J99" s="2">
        <f t="shared" si="18"/>
        <v>2281990</v>
      </c>
      <c r="K99" s="2">
        <f t="shared" si="19"/>
        <v>2616800</v>
      </c>
      <c r="L99" s="2">
        <f t="shared" si="20"/>
        <v>2281990</v>
      </c>
      <c r="M99" s="2">
        <f t="shared" si="21"/>
        <v>2291530</v>
      </c>
      <c r="N99" s="2">
        <f t="shared" si="22"/>
        <v>543360</v>
      </c>
      <c r="O99" s="2">
        <f t="shared" si="23"/>
        <v>1642470</v>
      </c>
      <c r="P99" s="2">
        <f t="shared" si="24"/>
        <v>555764.62106898054</v>
      </c>
      <c r="Q99" s="3">
        <f t="shared" si="25"/>
        <v>14267064000.273973</v>
      </c>
      <c r="R99" s="3">
        <f t="shared" si="26"/>
        <v>18760663671.232876</v>
      </c>
      <c r="S99" s="3">
        <f t="shared" si="27"/>
        <v>14267064000.273973</v>
      </c>
      <c r="T99" s="3">
        <f t="shared" si="28"/>
        <v>14386602029.863014</v>
      </c>
      <c r="U99" s="3">
        <f t="shared" si="29"/>
        <v>808876957.80821919</v>
      </c>
      <c r="V99" s="3">
        <f t="shared" si="30"/>
        <v>7390980002.4657536</v>
      </c>
      <c r="W99" s="3">
        <f t="shared" si="31"/>
        <v>846230997.34780145</v>
      </c>
      <c r="X99" s="3">
        <f t="shared" si="32"/>
        <v>308874314031.94751</v>
      </c>
      <c r="Y99" s="3">
        <f t="shared" si="33"/>
        <v>17506383302600.863</v>
      </c>
      <c r="AK99">
        <v>3.55064</v>
      </c>
      <c r="AL99">
        <v>1000000</v>
      </c>
      <c r="AM99">
        <f t="shared" si="34"/>
        <v>3550640</v>
      </c>
      <c r="AN99">
        <v>2.45153</v>
      </c>
      <c r="AO99">
        <v>1000000</v>
      </c>
      <c r="AP99">
        <f t="shared" si="35"/>
        <v>2451530</v>
      </c>
    </row>
    <row r="100" spans="1:42" x14ac:dyDescent="0.4">
      <c r="A100">
        <v>89</v>
      </c>
      <c r="B100" s="2">
        <v>9099200</v>
      </c>
      <c r="C100" s="2">
        <v>693692</v>
      </c>
      <c r="D100" s="2">
        <f>IF(B100&lt;2500000,2500000,B100)</f>
        <v>9099200</v>
      </c>
      <c r="E100" s="2">
        <v>9106830</v>
      </c>
      <c r="F100" s="2">
        <v>3132750</v>
      </c>
      <c r="G100" s="2">
        <v>2198240</v>
      </c>
      <c r="H100" s="2">
        <v>4338844.4642704967</v>
      </c>
      <c r="I100" s="2">
        <f>38.04*(100000)</f>
        <v>3804000</v>
      </c>
      <c r="J100" s="2">
        <f t="shared" si="18"/>
        <v>5295200</v>
      </c>
      <c r="K100" s="2">
        <f t="shared" si="19"/>
        <v>3110308</v>
      </c>
      <c r="L100" s="2">
        <f t="shared" si="20"/>
        <v>5295200</v>
      </c>
      <c r="M100" s="2">
        <f t="shared" si="21"/>
        <v>5302830</v>
      </c>
      <c r="N100" s="2">
        <f t="shared" si="22"/>
        <v>671250</v>
      </c>
      <c r="O100" s="2">
        <f t="shared" si="23"/>
        <v>1605760</v>
      </c>
      <c r="P100" s="2">
        <f t="shared" si="24"/>
        <v>534844.46427049674</v>
      </c>
      <c r="Q100" s="3">
        <f t="shared" si="25"/>
        <v>76819569972.602737</v>
      </c>
      <c r="R100" s="3">
        <f t="shared" si="26"/>
        <v>26504153027.024658</v>
      </c>
      <c r="S100" s="3">
        <f t="shared" si="27"/>
        <v>76819569972.602737</v>
      </c>
      <c r="T100" s="3">
        <f t="shared" si="28"/>
        <v>77041112353.150681</v>
      </c>
      <c r="U100" s="3">
        <f t="shared" si="29"/>
        <v>1234456335.6164384</v>
      </c>
      <c r="V100" s="3">
        <f t="shared" si="30"/>
        <v>7064288157.808219</v>
      </c>
      <c r="W100" s="3">
        <f t="shared" si="31"/>
        <v>783722194.41313612</v>
      </c>
      <c r="X100" s="3">
        <f t="shared" si="32"/>
        <v>286058600960.79468</v>
      </c>
      <c r="Y100" s="3">
        <f t="shared" si="33"/>
        <v>20017239850546.066</v>
      </c>
      <c r="AK100">
        <v>3.1327500000000001</v>
      </c>
      <c r="AL100">
        <v>1000000</v>
      </c>
      <c r="AM100">
        <f t="shared" si="34"/>
        <v>3132750</v>
      </c>
      <c r="AN100">
        <v>2.1982400000000002</v>
      </c>
      <c r="AO100">
        <v>1000000</v>
      </c>
      <c r="AP100">
        <f t="shared" si="35"/>
        <v>2198240</v>
      </c>
    </row>
    <row r="101" spans="1:42" x14ac:dyDescent="0.4">
      <c r="A101">
        <v>90</v>
      </c>
      <c r="B101" s="2">
        <v>3109920</v>
      </c>
      <c r="C101" s="2">
        <v>328343</v>
      </c>
      <c r="D101" s="2">
        <f>IF(B101&lt;2500000,2500000,B101)</f>
        <v>3109920</v>
      </c>
      <c r="E101" s="2">
        <v>2988380</v>
      </c>
      <c r="F101" s="2">
        <v>2768920</v>
      </c>
      <c r="G101" s="2">
        <v>6484860</v>
      </c>
      <c r="H101" s="2">
        <v>4041834.8067079359</v>
      </c>
      <c r="I101" s="2">
        <f>35.75*(100000)</f>
        <v>3575000</v>
      </c>
      <c r="J101" s="2">
        <f t="shared" si="18"/>
        <v>465080</v>
      </c>
      <c r="K101" s="2">
        <f t="shared" si="19"/>
        <v>3246657</v>
      </c>
      <c r="L101" s="2">
        <f t="shared" si="20"/>
        <v>465080</v>
      </c>
      <c r="M101" s="2">
        <f t="shared" si="21"/>
        <v>586620</v>
      </c>
      <c r="N101" s="2">
        <f t="shared" si="22"/>
        <v>806080</v>
      </c>
      <c r="O101" s="2">
        <f t="shared" si="23"/>
        <v>2909860</v>
      </c>
      <c r="P101" s="2">
        <f t="shared" si="24"/>
        <v>466834.80670793587</v>
      </c>
      <c r="Q101" s="3">
        <f t="shared" si="25"/>
        <v>592601113.42465758</v>
      </c>
      <c r="R101" s="3">
        <f t="shared" si="26"/>
        <v>28878853905.887672</v>
      </c>
      <c r="S101" s="3">
        <f t="shared" si="27"/>
        <v>592601113.42465758</v>
      </c>
      <c r="T101" s="3">
        <f t="shared" si="28"/>
        <v>942802806.57534242</v>
      </c>
      <c r="U101" s="3">
        <f t="shared" si="29"/>
        <v>1780177990.1369863</v>
      </c>
      <c r="V101" s="3">
        <f t="shared" si="30"/>
        <v>23198041697.534248</v>
      </c>
      <c r="W101" s="3">
        <f t="shared" si="31"/>
        <v>597081470.5590024</v>
      </c>
      <c r="X101" s="3">
        <f t="shared" si="32"/>
        <v>217934736754.03586</v>
      </c>
      <c r="Y101" s="3">
        <f t="shared" si="33"/>
        <v>22118801710820.039</v>
      </c>
      <c r="AK101">
        <v>2.76892</v>
      </c>
      <c r="AL101">
        <v>1000000</v>
      </c>
      <c r="AM101">
        <f t="shared" si="34"/>
        <v>2768920</v>
      </c>
      <c r="AN101">
        <v>6.4848600000000003</v>
      </c>
      <c r="AO101">
        <v>1000000</v>
      </c>
      <c r="AP101">
        <f t="shared" si="35"/>
        <v>6484860</v>
      </c>
    </row>
    <row r="102" spans="1:42" x14ac:dyDescent="0.4">
      <c r="A102">
        <v>91</v>
      </c>
      <c r="B102" s="2">
        <v>2221090</v>
      </c>
      <c r="C102" s="2">
        <v>157418</v>
      </c>
      <c r="D102" s="2">
        <f>IF(B102&lt;2500000,2500000,B102)</f>
        <v>2500000</v>
      </c>
      <c r="E102" s="2">
        <v>2068270</v>
      </c>
      <c r="F102" s="2">
        <v>2449160</v>
      </c>
      <c r="G102" s="2">
        <v>1782140</v>
      </c>
      <c r="H102" s="2">
        <v>3813639.0038686208</v>
      </c>
      <c r="I102" s="2">
        <f>33.64*(100000)</f>
        <v>3364000</v>
      </c>
      <c r="J102" s="2">
        <f t="shared" si="18"/>
        <v>1142910</v>
      </c>
      <c r="K102" s="2">
        <f t="shared" si="19"/>
        <v>3206582</v>
      </c>
      <c r="L102" s="2">
        <f t="shared" si="20"/>
        <v>864000</v>
      </c>
      <c r="M102" s="2">
        <f t="shared" si="21"/>
        <v>1295730</v>
      </c>
      <c r="N102" s="2">
        <f t="shared" si="22"/>
        <v>914840</v>
      </c>
      <c r="O102" s="2">
        <f t="shared" si="23"/>
        <v>1581860</v>
      </c>
      <c r="P102" s="2">
        <f t="shared" si="24"/>
        <v>449639.00386862084</v>
      </c>
      <c r="Q102" s="3">
        <f t="shared" si="25"/>
        <v>3578748679.7260275</v>
      </c>
      <c r="R102" s="3">
        <f t="shared" si="26"/>
        <v>28170323623.901371</v>
      </c>
      <c r="S102" s="3">
        <f t="shared" si="27"/>
        <v>2045194520.5479453</v>
      </c>
      <c r="T102" s="3">
        <f t="shared" si="28"/>
        <v>4599770501.09589</v>
      </c>
      <c r="U102" s="3">
        <f t="shared" si="29"/>
        <v>2292965001.6438355</v>
      </c>
      <c r="V102" s="3">
        <f t="shared" si="30"/>
        <v>6855564546.8493147</v>
      </c>
      <c r="W102" s="3">
        <f t="shared" si="31"/>
        <v>553904750.1368922</v>
      </c>
      <c r="X102" s="3">
        <f t="shared" si="32"/>
        <v>202175233799.96564</v>
      </c>
      <c r="Y102" s="3">
        <f t="shared" si="33"/>
        <v>24148015302600.863</v>
      </c>
      <c r="AK102">
        <v>2.44916</v>
      </c>
      <c r="AL102">
        <v>1000000</v>
      </c>
      <c r="AM102">
        <f t="shared" si="34"/>
        <v>2449160</v>
      </c>
      <c r="AN102">
        <v>1.7821400000000001</v>
      </c>
      <c r="AO102">
        <v>1000000</v>
      </c>
      <c r="AP102">
        <f t="shared" si="35"/>
        <v>1782140</v>
      </c>
    </row>
    <row r="103" spans="1:42" x14ac:dyDescent="0.4">
      <c r="A103">
        <v>92</v>
      </c>
      <c r="B103" s="2">
        <v>6220710</v>
      </c>
      <c r="C103" s="2">
        <v>76094.100000000006</v>
      </c>
      <c r="D103" s="2">
        <f>IF(B103&lt;2500000,2500000,B103)</f>
        <v>6220710</v>
      </c>
      <c r="E103" s="2">
        <v>6050400</v>
      </c>
      <c r="F103" s="2">
        <v>2167390</v>
      </c>
      <c r="G103" s="2">
        <v>1607520</v>
      </c>
      <c r="H103" s="2">
        <v>3633541.4818428811</v>
      </c>
      <c r="I103" s="2">
        <f>32.76*(100000)</f>
        <v>3276000</v>
      </c>
      <c r="J103" s="2">
        <f t="shared" si="18"/>
        <v>2944710</v>
      </c>
      <c r="K103" s="2">
        <f t="shared" si="19"/>
        <v>3199905.9</v>
      </c>
      <c r="L103" s="2">
        <f t="shared" si="20"/>
        <v>2944710</v>
      </c>
      <c r="M103" s="2">
        <f t="shared" si="21"/>
        <v>2774400</v>
      </c>
      <c r="N103" s="2">
        <f t="shared" si="22"/>
        <v>1108610</v>
      </c>
      <c r="O103" s="2">
        <f t="shared" si="23"/>
        <v>1668480</v>
      </c>
      <c r="P103" s="2">
        <f t="shared" si="24"/>
        <v>357541.48184288107</v>
      </c>
      <c r="Q103" s="3">
        <f t="shared" si="25"/>
        <v>23757032833.150684</v>
      </c>
      <c r="R103" s="3">
        <f t="shared" si="26"/>
        <v>28053144572.204956</v>
      </c>
      <c r="S103" s="3">
        <f t="shared" si="27"/>
        <v>23757032833.150684</v>
      </c>
      <c r="T103" s="3">
        <f t="shared" si="28"/>
        <v>21088480438.356163</v>
      </c>
      <c r="U103" s="3">
        <f t="shared" si="29"/>
        <v>3367167485.2054796</v>
      </c>
      <c r="V103" s="3">
        <f t="shared" si="30"/>
        <v>7626919206.5753422</v>
      </c>
      <c r="W103" s="3">
        <f t="shared" si="31"/>
        <v>350235373.25589937</v>
      </c>
      <c r="X103" s="3">
        <f t="shared" si="32"/>
        <v>127835911238.40326</v>
      </c>
      <c r="Y103" s="3">
        <f t="shared" si="33"/>
        <v>25020634393011.82</v>
      </c>
      <c r="AK103">
        <v>2.1673900000000001</v>
      </c>
      <c r="AL103">
        <v>1000000</v>
      </c>
      <c r="AM103">
        <f t="shared" si="34"/>
        <v>2167390</v>
      </c>
      <c r="AN103">
        <v>1.6075200000000001</v>
      </c>
      <c r="AO103">
        <v>1000000</v>
      </c>
      <c r="AP103">
        <f t="shared" si="35"/>
        <v>1607520</v>
      </c>
    </row>
    <row r="104" spans="1:42" x14ac:dyDescent="0.4">
      <c r="A104">
        <v>93</v>
      </c>
      <c r="B104" s="2">
        <v>1404640</v>
      </c>
      <c r="C104" s="2">
        <v>36973.800000000003</v>
      </c>
      <c r="D104" s="2">
        <f>IF(B104&lt;2500000,2500000,B104)</f>
        <v>2500000</v>
      </c>
      <c r="E104" s="2">
        <v>1229740</v>
      </c>
      <c r="F104" s="2">
        <v>1917370</v>
      </c>
      <c r="G104" s="2">
        <v>1450110</v>
      </c>
      <c r="H104" s="2">
        <v>3486890.2380207549</v>
      </c>
      <c r="I104" s="2">
        <f>35.11*(100000)</f>
        <v>3511000</v>
      </c>
      <c r="J104" s="2">
        <f t="shared" si="18"/>
        <v>2106360</v>
      </c>
      <c r="K104" s="2">
        <f t="shared" si="19"/>
        <v>3474026.2</v>
      </c>
      <c r="L104" s="2">
        <f t="shared" si="20"/>
        <v>1011000</v>
      </c>
      <c r="M104" s="2">
        <f t="shared" si="21"/>
        <v>2281260</v>
      </c>
      <c r="N104" s="2">
        <f t="shared" si="22"/>
        <v>1593630</v>
      </c>
      <c r="O104" s="2">
        <f t="shared" si="23"/>
        <v>2060890</v>
      </c>
      <c r="P104" s="2">
        <f t="shared" si="24"/>
        <v>24109.761979245115</v>
      </c>
      <c r="Q104" s="3">
        <f t="shared" si="25"/>
        <v>12155486163.287672</v>
      </c>
      <c r="R104" s="3">
        <f t="shared" si="26"/>
        <v>33065364488.456005</v>
      </c>
      <c r="S104" s="3">
        <f t="shared" si="27"/>
        <v>2800331506.8493152</v>
      </c>
      <c r="T104" s="3">
        <f t="shared" si="28"/>
        <v>14257937500.273973</v>
      </c>
      <c r="U104" s="3">
        <f t="shared" si="29"/>
        <v>6957963224.3835621</v>
      </c>
      <c r="V104" s="3">
        <f t="shared" si="30"/>
        <v>11636349567.397261</v>
      </c>
      <c r="W104" s="3">
        <f t="shared" si="31"/>
        <v>1592549.6512215161</v>
      </c>
      <c r="X104" s="3">
        <f t="shared" si="32"/>
        <v>581280622.69585335</v>
      </c>
      <c r="Y104" s="3">
        <f t="shared" si="33"/>
        <v>22724889776573.465</v>
      </c>
      <c r="AK104">
        <v>1.91737</v>
      </c>
      <c r="AL104">
        <v>1000000</v>
      </c>
      <c r="AM104">
        <f t="shared" si="34"/>
        <v>1917370</v>
      </c>
      <c r="AN104">
        <v>1.45011</v>
      </c>
      <c r="AO104">
        <v>1000000</v>
      </c>
      <c r="AP104">
        <f t="shared" si="35"/>
        <v>1450110</v>
      </c>
    </row>
    <row r="105" spans="1:42" x14ac:dyDescent="0.4">
      <c r="A105">
        <v>94</v>
      </c>
      <c r="B105" s="2">
        <v>1155910</v>
      </c>
      <c r="C105" s="2">
        <v>18023.5</v>
      </c>
      <c r="D105" s="2">
        <f>IF(B105&lt;2500000,2500000,B105)</f>
        <v>2500000</v>
      </c>
      <c r="E105" s="2">
        <v>983193</v>
      </c>
      <c r="F105" s="2">
        <v>1698930</v>
      </c>
      <c r="G105" s="2">
        <v>1310000</v>
      </c>
      <c r="H105" s="2">
        <v>3364721.6908832658</v>
      </c>
      <c r="I105" s="2">
        <f>33.68*(100000)</f>
        <v>3368000</v>
      </c>
      <c r="J105" s="2">
        <f t="shared" si="18"/>
        <v>2212090</v>
      </c>
      <c r="K105" s="2">
        <f t="shared" si="19"/>
        <v>3349976.5</v>
      </c>
      <c r="L105" s="2">
        <f t="shared" si="20"/>
        <v>868000</v>
      </c>
      <c r="M105" s="2">
        <f t="shared" si="21"/>
        <v>2384807</v>
      </c>
      <c r="N105" s="2">
        <f t="shared" si="22"/>
        <v>1669070</v>
      </c>
      <c r="O105" s="2">
        <f t="shared" si="23"/>
        <v>2058000</v>
      </c>
      <c r="P105" s="2">
        <f t="shared" si="24"/>
        <v>3278.3091167341918</v>
      </c>
      <c r="Q105" s="3">
        <f t="shared" si="25"/>
        <v>13406416898.90411</v>
      </c>
      <c r="R105" s="3">
        <f t="shared" si="26"/>
        <v>30746143974.115753</v>
      </c>
      <c r="S105" s="3">
        <f t="shared" si="27"/>
        <v>2064175342.4657533</v>
      </c>
      <c r="T105" s="3">
        <f t="shared" si="28"/>
        <v>15581655965.065754</v>
      </c>
      <c r="U105" s="3">
        <f t="shared" si="29"/>
        <v>7632314150.4109592</v>
      </c>
      <c r="V105" s="3">
        <f t="shared" si="30"/>
        <v>11603736986.301371</v>
      </c>
      <c r="W105" s="3">
        <f t="shared" si="31"/>
        <v>29444.686753047994</v>
      </c>
      <c r="X105" s="3">
        <f t="shared" si="32"/>
        <v>10747310.664862517</v>
      </c>
      <c r="Y105" s="3">
        <f t="shared" si="33"/>
        <v>24108718798491.273</v>
      </c>
      <c r="AK105">
        <v>1.6989300000000001</v>
      </c>
      <c r="AL105">
        <v>1000000</v>
      </c>
      <c r="AM105">
        <f t="shared" si="34"/>
        <v>1698930</v>
      </c>
      <c r="AN105">
        <v>1.31</v>
      </c>
      <c r="AO105">
        <v>1000000</v>
      </c>
      <c r="AP105">
        <f t="shared" si="35"/>
        <v>1310000</v>
      </c>
    </row>
    <row r="106" spans="1:42" x14ac:dyDescent="0.4">
      <c r="A106">
        <v>95</v>
      </c>
      <c r="B106" s="2">
        <v>4502670</v>
      </c>
      <c r="C106" s="2">
        <v>17129800</v>
      </c>
      <c r="D106" s="2">
        <f>IF(B106&lt;2500000,2500000,B106)</f>
        <v>4502670</v>
      </c>
      <c r="E106" s="2">
        <v>4630700</v>
      </c>
      <c r="F106" s="2">
        <v>2758510</v>
      </c>
      <c r="G106" s="2">
        <v>2026970</v>
      </c>
      <c r="H106" s="2">
        <v>4377536.4671910256</v>
      </c>
      <c r="I106" s="2">
        <f>33.05*(100000)</f>
        <v>3304999.9999999995</v>
      </c>
      <c r="J106" s="2">
        <f t="shared" si="18"/>
        <v>1197670.0000000005</v>
      </c>
      <c r="K106" s="2">
        <f t="shared" si="19"/>
        <v>13824800</v>
      </c>
      <c r="L106" s="2">
        <f t="shared" si="20"/>
        <v>1197670.0000000005</v>
      </c>
      <c r="M106" s="2">
        <f t="shared" si="21"/>
        <v>1325700.0000000005</v>
      </c>
      <c r="N106" s="2">
        <f t="shared" si="22"/>
        <v>546489.99999999953</v>
      </c>
      <c r="O106" s="2">
        <f t="shared" si="23"/>
        <v>1278029.9999999995</v>
      </c>
      <c r="P106" s="2">
        <f t="shared" si="24"/>
        <v>1072536.4671910261</v>
      </c>
      <c r="Q106" s="3">
        <f t="shared" si="25"/>
        <v>3929899805.205483</v>
      </c>
      <c r="R106" s="3">
        <f t="shared" si="26"/>
        <v>523630397369.86304</v>
      </c>
      <c r="S106" s="3">
        <f t="shared" si="27"/>
        <v>3929899805.205483</v>
      </c>
      <c r="T106" s="3">
        <f t="shared" si="28"/>
        <v>4815015041.0958939</v>
      </c>
      <c r="U106" s="3">
        <f t="shared" si="29"/>
        <v>818222794.79451919</v>
      </c>
      <c r="V106" s="3">
        <f t="shared" si="30"/>
        <v>4474960769.5890379</v>
      </c>
      <c r="W106" s="3">
        <f t="shared" si="31"/>
        <v>3151601297.1359096</v>
      </c>
      <c r="X106" s="3">
        <f t="shared" si="32"/>
        <v>1150334473454.6069</v>
      </c>
      <c r="Y106" s="3">
        <f t="shared" si="33"/>
        <v>24731355738217.301</v>
      </c>
      <c r="AK106">
        <v>2.7585099999999998</v>
      </c>
      <c r="AL106">
        <v>1000000</v>
      </c>
      <c r="AM106">
        <f t="shared" si="34"/>
        <v>2758510</v>
      </c>
      <c r="AN106">
        <v>2.0269699999999999</v>
      </c>
      <c r="AO106">
        <v>1000000</v>
      </c>
      <c r="AP106">
        <f t="shared" si="35"/>
        <v>2026970</v>
      </c>
    </row>
    <row r="107" spans="1:42" x14ac:dyDescent="0.4">
      <c r="A107">
        <v>96</v>
      </c>
      <c r="B107" s="2">
        <v>6308170</v>
      </c>
      <c r="C107" s="2">
        <v>17409000</v>
      </c>
      <c r="D107" s="2">
        <f>IF(B107&lt;2500000,2500000,B107)</f>
        <v>6308170</v>
      </c>
      <c r="E107" s="2">
        <v>6560340</v>
      </c>
      <c r="F107" s="2">
        <v>3212210</v>
      </c>
      <c r="G107" s="2">
        <v>6829470</v>
      </c>
      <c r="H107" s="2">
        <v>4543614.2411309909</v>
      </c>
      <c r="I107" s="2">
        <f>63.59*(100000)</f>
        <v>6359000</v>
      </c>
      <c r="J107" s="2">
        <f t="shared" si="18"/>
        <v>50830</v>
      </c>
      <c r="K107" s="2">
        <f t="shared" si="19"/>
        <v>11050000</v>
      </c>
      <c r="L107" s="2">
        <f t="shared" si="20"/>
        <v>50830</v>
      </c>
      <c r="M107" s="2">
        <f t="shared" si="21"/>
        <v>201340</v>
      </c>
      <c r="N107" s="2">
        <f t="shared" si="22"/>
        <v>3146790</v>
      </c>
      <c r="O107" s="2">
        <f t="shared" si="23"/>
        <v>470470</v>
      </c>
      <c r="P107" s="2">
        <f t="shared" si="24"/>
        <v>1815385.7588690091</v>
      </c>
      <c r="Q107" s="3">
        <f t="shared" si="25"/>
        <v>7078599.7260273974</v>
      </c>
      <c r="R107" s="3">
        <f t="shared" si="26"/>
        <v>334527397260.27399</v>
      </c>
      <c r="S107" s="3">
        <f t="shared" si="27"/>
        <v>7078599.7260273974</v>
      </c>
      <c r="T107" s="3">
        <f t="shared" si="28"/>
        <v>111062453.69863014</v>
      </c>
      <c r="U107" s="3">
        <f t="shared" si="29"/>
        <v>27129554257.80822</v>
      </c>
      <c r="V107" s="3">
        <f t="shared" si="30"/>
        <v>606416495.61643839</v>
      </c>
      <c r="W107" s="3">
        <f t="shared" si="31"/>
        <v>9029110831.5189266</v>
      </c>
      <c r="X107" s="3">
        <f t="shared" si="32"/>
        <v>3295625453504.4082</v>
      </c>
      <c r="Y107" s="3">
        <f t="shared" si="33"/>
        <v>3682802850546.0684</v>
      </c>
      <c r="AK107">
        <v>3.2122099999999998</v>
      </c>
      <c r="AL107">
        <v>1000000</v>
      </c>
      <c r="AM107">
        <f t="shared" si="34"/>
        <v>3212210</v>
      </c>
      <c r="AN107">
        <v>6.8294699999999997</v>
      </c>
      <c r="AO107">
        <v>1000000</v>
      </c>
      <c r="AP107">
        <f t="shared" si="35"/>
        <v>6829470</v>
      </c>
    </row>
    <row r="108" spans="1:42" x14ac:dyDescent="0.4">
      <c r="A108">
        <v>97</v>
      </c>
      <c r="B108" s="2">
        <v>16968600</v>
      </c>
      <c r="C108" s="2">
        <v>40152700</v>
      </c>
      <c r="D108" s="2">
        <f>IF(B108&lt;2500000,2500000,B108)</f>
        <v>16968600</v>
      </c>
      <c r="E108" s="2">
        <v>17608100</v>
      </c>
      <c r="F108" s="2">
        <v>5234290</v>
      </c>
      <c r="G108" s="2">
        <v>3649930</v>
      </c>
      <c r="H108" s="2">
        <v>7414253.4260797687</v>
      </c>
      <c r="I108" s="2">
        <f>53.34*(100000)</f>
        <v>5334000</v>
      </c>
      <c r="J108" s="2">
        <f t="shared" si="18"/>
        <v>11634600</v>
      </c>
      <c r="K108" s="2">
        <f t="shared" si="19"/>
        <v>34818700</v>
      </c>
      <c r="L108" s="2">
        <f t="shared" si="20"/>
        <v>11634600</v>
      </c>
      <c r="M108" s="2">
        <f t="shared" si="21"/>
        <v>12274100</v>
      </c>
      <c r="N108" s="2">
        <f t="shared" si="22"/>
        <v>99710</v>
      </c>
      <c r="O108" s="2">
        <f t="shared" si="23"/>
        <v>1684070</v>
      </c>
      <c r="P108" s="2">
        <f t="shared" si="24"/>
        <v>2080253.4260797687</v>
      </c>
      <c r="Q108" s="3">
        <f t="shared" si="25"/>
        <v>370860047013.69861</v>
      </c>
      <c r="R108" s="3">
        <f t="shared" si="26"/>
        <v>3321484574493.1509</v>
      </c>
      <c r="S108" s="3">
        <f t="shared" si="27"/>
        <v>370860047013.69861</v>
      </c>
      <c r="T108" s="3">
        <f t="shared" si="28"/>
        <v>412749399479.45203</v>
      </c>
      <c r="U108" s="3">
        <f t="shared" si="29"/>
        <v>27238586.575342465</v>
      </c>
      <c r="V108" s="3">
        <f t="shared" si="30"/>
        <v>7770114424.3835621</v>
      </c>
      <c r="W108" s="3">
        <f t="shared" si="31"/>
        <v>11856039223.88114</v>
      </c>
      <c r="X108" s="3">
        <f t="shared" si="32"/>
        <v>4327454316716.6157</v>
      </c>
      <c r="Y108" s="3">
        <f t="shared" si="33"/>
        <v>8667507028628.2598</v>
      </c>
      <c r="AK108">
        <v>5.2342899999999997</v>
      </c>
      <c r="AL108">
        <v>1000000</v>
      </c>
      <c r="AM108">
        <f t="shared" si="34"/>
        <v>5234290</v>
      </c>
      <c r="AN108">
        <v>3.6499299999999999</v>
      </c>
      <c r="AO108">
        <v>1000000</v>
      </c>
      <c r="AP108">
        <f t="shared" si="35"/>
        <v>3649930</v>
      </c>
    </row>
    <row r="109" spans="1:42" x14ac:dyDescent="0.4">
      <c r="A109">
        <v>98</v>
      </c>
      <c r="B109" s="2">
        <v>10354200</v>
      </c>
      <c r="C109" s="2">
        <v>15723600</v>
      </c>
      <c r="D109" s="2">
        <f>IF(B109&lt;2500000,2500000,B109)</f>
        <v>10354200</v>
      </c>
      <c r="E109" s="2">
        <v>10809600</v>
      </c>
      <c r="F109" s="2">
        <v>4429180</v>
      </c>
      <c r="G109" s="2">
        <v>3075200</v>
      </c>
      <c r="H109" s="2">
        <v>5441908.096044275</v>
      </c>
      <c r="I109" s="2">
        <f>44.72*(100000)</f>
        <v>4472000</v>
      </c>
      <c r="J109" s="2">
        <f t="shared" si="18"/>
        <v>5882200</v>
      </c>
      <c r="K109" s="2">
        <f t="shared" si="19"/>
        <v>11251600</v>
      </c>
      <c r="L109" s="2">
        <f t="shared" si="20"/>
        <v>5882200</v>
      </c>
      <c r="M109" s="2">
        <f t="shared" si="21"/>
        <v>6337600</v>
      </c>
      <c r="N109" s="2">
        <f t="shared" si="22"/>
        <v>42820</v>
      </c>
      <c r="O109" s="2">
        <f t="shared" si="23"/>
        <v>1396800</v>
      </c>
      <c r="P109" s="2">
        <f t="shared" si="24"/>
        <v>969908.09604427498</v>
      </c>
      <c r="Q109" s="3">
        <f t="shared" si="25"/>
        <v>94795279013.698624</v>
      </c>
      <c r="R109" s="3">
        <f t="shared" si="26"/>
        <v>346845212493.1507</v>
      </c>
      <c r="S109" s="3">
        <f t="shared" si="27"/>
        <v>94795279013.698624</v>
      </c>
      <c r="T109" s="3">
        <f t="shared" si="28"/>
        <v>110041571945.20547</v>
      </c>
      <c r="U109" s="3">
        <f t="shared" si="29"/>
        <v>5023431.2328767125</v>
      </c>
      <c r="V109" s="3">
        <f t="shared" si="30"/>
        <v>5345343123.2876711</v>
      </c>
      <c r="W109" s="3">
        <f t="shared" si="31"/>
        <v>2577319766.4992619</v>
      </c>
      <c r="X109" s="3">
        <f t="shared" si="32"/>
        <v>940721714772.23059</v>
      </c>
      <c r="Y109" s="3">
        <f t="shared" si="33"/>
        <v>14486115664244.697</v>
      </c>
      <c r="AK109">
        <v>4.4291799999999997</v>
      </c>
      <c r="AL109">
        <v>1000000</v>
      </c>
      <c r="AM109">
        <f t="shared" si="34"/>
        <v>4429180</v>
      </c>
      <c r="AN109">
        <v>3.0752000000000002</v>
      </c>
      <c r="AO109">
        <v>1000000</v>
      </c>
      <c r="AP109">
        <f t="shared" si="35"/>
        <v>3075200</v>
      </c>
    </row>
    <row r="110" spans="1:42" x14ac:dyDescent="0.4">
      <c r="A110">
        <v>99</v>
      </c>
      <c r="B110" s="2">
        <v>13587300</v>
      </c>
      <c r="C110" s="2">
        <v>6236070</v>
      </c>
      <c r="D110" s="2">
        <f>IF(B110&lt;2500000,2500000,B110)</f>
        <v>13587300</v>
      </c>
      <c r="E110" s="2">
        <v>13755100</v>
      </c>
      <c r="F110" s="2">
        <v>3802300</v>
      </c>
      <c r="G110" s="2">
        <v>2648440</v>
      </c>
      <c r="H110" s="2">
        <v>5061082.2042332254</v>
      </c>
      <c r="I110" s="2">
        <f>41.05*(100000)</f>
        <v>4104999.9999999995</v>
      </c>
      <c r="J110" s="2">
        <f t="shared" si="18"/>
        <v>9482300</v>
      </c>
      <c r="K110" s="2">
        <f t="shared" si="19"/>
        <v>2131070.0000000005</v>
      </c>
      <c r="L110" s="2">
        <f t="shared" si="20"/>
        <v>9482300</v>
      </c>
      <c r="M110" s="2">
        <f t="shared" si="21"/>
        <v>9650100</v>
      </c>
      <c r="N110" s="2">
        <f t="shared" si="22"/>
        <v>302699.99999999953</v>
      </c>
      <c r="O110" s="2">
        <f t="shared" si="23"/>
        <v>1456559.9999999995</v>
      </c>
      <c r="P110" s="2">
        <f t="shared" si="24"/>
        <v>956082.2042332259</v>
      </c>
      <c r="Q110" s="3">
        <f t="shared" si="25"/>
        <v>246339762438.35617</v>
      </c>
      <c r="R110" s="3">
        <f t="shared" si="26"/>
        <v>12442354369.589046</v>
      </c>
      <c r="S110" s="3">
        <f t="shared" si="27"/>
        <v>246339762438.35617</v>
      </c>
      <c r="T110" s="3">
        <f t="shared" si="28"/>
        <v>255135424684.93152</v>
      </c>
      <c r="U110" s="3">
        <f t="shared" si="29"/>
        <v>251033671.23287597</v>
      </c>
      <c r="V110" s="3">
        <f t="shared" si="30"/>
        <v>5812512420.8219137</v>
      </c>
      <c r="W110" s="3">
        <f t="shared" si="31"/>
        <v>2504364880.1409969</v>
      </c>
      <c r="X110" s="3">
        <f t="shared" si="32"/>
        <v>914093181251.46387</v>
      </c>
      <c r="Y110" s="3">
        <f t="shared" si="33"/>
        <v>17414454916299.496</v>
      </c>
      <c r="AK110">
        <v>3.8022999999999998</v>
      </c>
      <c r="AL110">
        <v>1000000</v>
      </c>
      <c r="AM110">
        <f t="shared" si="34"/>
        <v>3802300</v>
      </c>
      <c r="AN110">
        <v>2.6484399999999999</v>
      </c>
      <c r="AO110">
        <v>1000000</v>
      </c>
      <c r="AP110">
        <f t="shared" si="35"/>
        <v>2648440</v>
      </c>
    </row>
    <row r="111" spans="1:42" x14ac:dyDescent="0.4">
      <c r="A111">
        <v>100</v>
      </c>
      <c r="B111" s="2">
        <v>11319100</v>
      </c>
      <c r="C111" s="2">
        <v>2757930</v>
      </c>
      <c r="D111" s="2">
        <f>IF(B111&lt;2500000,2500000,B111)</f>
        <v>11319100</v>
      </c>
      <c r="E111" s="2">
        <v>6975050</v>
      </c>
      <c r="F111" s="2">
        <v>3290030</v>
      </c>
      <c r="G111" s="2">
        <v>6854520</v>
      </c>
      <c r="H111" s="2">
        <v>4750151.5783118661</v>
      </c>
      <c r="I111" s="2">
        <f>40.09*(100000)</f>
        <v>4009000.0000000005</v>
      </c>
      <c r="J111" s="2">
        <f t="shared" si="18"/>
        <v>7310100</v>
      </c>
      <c r="K111" s="2">
        <f t="shared" si="19"/>
        <v>1251070.0000000005</v>
      </c>
      <c r="L111" s="2">
        <f t="shared" si="20"/>
        <v>7310100</v>
      </c>
      <c r="M111" s="2">
        <f t="shared" si="21"/>
        <v>2966049.9999999995</v>
      </c>
      <c r="N111" s="2">
        <f t="shared" si="22"/>
        <v>718970.00000000047</v>
      </c>
      <c r="O111" s="2">
        <f t="shared" si="23"/>
        <v>2845519.9999999995</v>
      </c>
      <c r="P111" s="2">
        <f t="shared" si="24"/>
        <v>741151.57831186568</v>
      </c>
      <c r="Q111" s="3">
        <f t="shared" si="25"/>
        <v>146404279479.45206</v>
      </c>
      <c r="R111" s="3">
        <f t="shared" si="26"/>
        <v>4288153821.6438389</v>
      </c>
      <c r="S111" s="3">
        <f t="shared" si="27"/>
        <v>146404279479.45206</v>
      </c>
      <c r="T111" s="3">
        <f t="shared" si="28"/>
        <v>24102609869.863007</v>
      </c>
      <c r="U111" s="3">
        <f t="shared" si="29"/>
        <v>1416213317.5342484</v>
      </c>
      <c r="V111" s="3">
        <f t="shared" si="30"/>
        <v>22183518001.095882</v>
      </c>
      <c r="W111" s="3">
        <f t="shared" si="31"/>
        <v>1504947019.2716975</v>
      </c>
      <c r="X111" s="3">
        <f t="shared" si="32"/>
        <v>549305662034.16956</v>
      </c>
      <c r="Y111" s="3">
        <f t="shared" si="33"/>
        <v>18224899014929.629</v>
      </c>
      <c r="AK111">
        <v>3.2900299999999998</v>
      </c>
      <c r="AL111">
        <v>1000000</v>
      </c>
      <c r="AM111">
        <f t="shared" si="34"/>
        <v>3290030</v>
      </c>
      <c r="AN111">
        <v>6.8545199999999999</v>
      </c>
      <c r="AO111">
        <v>1000000</v>
      </c>
      <c r="AP111">
        <f t="shared" si="35"/>
        <v>6854520</v>
      </c>
    </row>
    <row r="112" spans="1:42" x14ac:dyDescent="0.4">
      <c r="A112">
        <v>101</v>
      </c>
      <c r="B112" s="2">
        <v>4987070</v>
      </c>
      <c r="C112" s="2">
        <v>1261990</v>
      </c>
      <c r="D112" s="2">
        <f>IF(B112&lt;2500000,2500000,B112)</f>
        <v>4987070</v>
      </c>
      <c r="E112" s="2">
        <v>9545340</v>
      </c>
      <c r="F112" s="2">
        <v>2877710</v>
      </c>
      <c r="G112" s="2">
        <v>2045610</v>
      </c>
      <c r="H112" s="2">
        <v>4517285.6729773954</v>
      </c>
      <c r="I112" s="2">
        <f>45.37*(100000)</f>
        <v>4537000</v>
      </c>
      <c r="J112" s="2">
        <f t="shared" si="18"/>
        <v>450070</v>
      </c>
      <c r="K112" s="2">
        <f t="shared" si="19"/>
        <v>3275010</v>
      </c>
      <c r="L112" s="2">
        <f t="shared" si="20"/>
        <v>450070</v>
      </c>
      <c r="M112" s="2">
        <f t="shared" si="21"/>
        <v>5008340</v>
      </c>
      <c r="N112" s="2">
        <f t="shared" si="22"/>
        <v>1659290</v>
      </c>
      <c r="O112" s="2">
        <f t="shared" si="23"/>
        <v>2491390</v>
      </c>
      <c r="P112" s="2">
        <f t="shared" si="24"/>
        <v>19714.327022604644</v>
      </c>
      <c r="Q112" s="3">
        <f t="shared" si="25"/>
        <v>554967136.71232879</v>
      </c>
      <c r="R112" s="3">
        <f t="shared" si="26"/>
        <v>29385453424.931507</v>
      </c>
      <c r="S112" s="3">
        <f t="shared" si="27"/>
        <v>554967136.71232879</v>
      </c>
      <c r="T112" s="3">
        <f t="shared" si="28"/>
        <v>68721834398.904114</v>
      </c>
      <c r="U112" s="3">
        <f t="shared" si="29"/>
        <v>7543132340</v>
      </c>
      <c r="V112" s="3">
        <f t="shared" si="30"/>
        <v>17005545567.397261</v>
      </c>
      <c r="W112" s="3">
        <f t="shared" si="31"/>
        <v>1064807.3697375334</v>
      </c>
      <c r="X112" s="3">
        <f t="shared" si="32"/>
        <v>388654689.95419967</v>
      </c>
      <c r="Y112" s="3">
        <f t="shared" si="33"/>
        <v>13995552472463.877</v>
      </c>
      <c r="AK112">
        <v>2.87771</v>
      </c>
      <c r="AL112">
        <v>1000000</v>
      </c>
      <c r="AM112">
        <f t="shared" si="34"/>
        <v>2877710</v>
      </c>
      <c r="AN112">
        <v>2.0456099999999999</v>
      </c>
      <c r="AO112">
        <v>1000000</v>
      </c>
      <c r="AP112">
        <f t="shared" si="35"/>
        <v>2045610</v>
      </c>
    </row>
    <row r="113" spans="1:42" x14ac:dyDescent="0.4">
      <c r="A113">
        <v>102</v>
      </c>
      <c r="B113" s="2">
        <v>9586980</v>
      </c>
      <c r="C113" s="2">
        <v>30364600</v>
      </c>
      <c r="D113" s="2">
        <f>IF(B113&lt;2500000,2500000,B113)</f>
        <v>9586980</v>
      </c>
      <c r="E113" s="2">
        <v>10057000</v>
      </c>
      <c r="F113" s="2">
        <v>4705850</v>
      </c>
      <c r="G113" s="2">
        <v>3292180</v>
      </c>
      <c r="H113" s="2">
        <v>6880921.7266717479</v>
      </c>
      <c r="I113" s="2">
        <f>40.57*(100000)</f>
        <v>4057000</v>
      </c>
      <c r="J113" s="2">
        <f t="shared" si="18"/>
        <v>5529980</v>
      </c>
      <c r="K113" s="2">
        <f t="shared" si="19"/>
        <v>26307600</v>
      </c>
      <c r="L113" s="2">
        <f t="shared" si="20"/>
        <v>5529980</v>
      </c>
      <c r="M113" s="2">
        <f t="shared" si="21"/>
        <v>6000000</v>
      </c>
      <c r="N113" s="2">
        <f t="shared" si="22"/>
        <v>648850</v>
      </c>
      <c r="O113" s="2">
        <f t="shared" si="23"/>
        <v>764820</v>
      </c>
      <c r="P113" s="2">
        <f t="shared" si="24"/>
        <v>2823921.7266717479</v>
      </c>
      <c r="Q113" s="3">
        <f t="shared" si="25"/>
        <v>83782681644.931503</v>
      </c>
      <c r="R113" s="3">
        <f t="shared" si="26"/>
        <v>1896136487013.6987</v>
      </c>
      <c r="S113" s="3">
        <f t="shared" si="27"/>
        <v>83782681644.931503</v>
      </c>
      <c r="T113" s="3">
        <f t="shared" si="28"/>
        <v>98630136986.301376</v>
      </c>
      <c r="U113" s="3">
        <f t="shared" si="29"/>
        <v>1153441979.4520547</v>
      </c>
      <c r="V113" s="3">
        <f t="shared" si="30"/>
        <v>1602601732.6027398</v>
      </c>
      <c r="W113" s="3">
        <f t="shared" si="31"/>
        <v>21848038132.517113</v>
      </c>
      <c r="X113" s="3">
        <f t="shared" si="32"/>
        <v>7974533918368.7461</v>
      </c>
      <c r="Y113" s="3">
        <f t="shared" si="33"/>
        <v>17817372965614.563</v>
      </c>
      <c r="AK113">
        <v>4.7058499999999999</v>
      </c>
      <c r="AL113">
        <v>1000000</v>
      </c>
      <c r="AM113">
        <f t="shared" si="34"/>
        <v>4705850</v>
      </c>
      <c r="AN113">
        <v>3.2921800000000001</v>
      </c>
      <c r="AO113">
        <v>1000000</v>
      </c>
      <c r="AP113">
        <f t="shared" si="35"/>
        <v>3292180</v>
      </c>
    </row>
    <row r="114" spans="1:42" x14ac:dyDescent="0.4">
      <c r="A114">
        <v>103</v>
      </c>
      <c r="B114" s="2">
        <v>12204800</v>
      </c>
      <c r="C114" s="2">
        <v>11379300</v>
      </c>
      <c r="D114" s="2">
        <f>IF(B114&lt;2500000,2500000,B114)</f>
        <v>12204800</v>
      </c>
      <c r="E114" s="2">
        <v>12314000</v>
      </c>
      <c r="F114" s="2">
        <v>8466980</v>
      </c>
      <c r="G114" s="2">
        <v>2803450</v>
      </c>
      <c r="H114" s="2">
        <v>5034744.353245236</v>
      </c>
      <c r="I114" s="2">
        <f>42.31*(100000)</f>
        <v>4231000</v>
      </c>
      <c r="J114" s="2">
        <f t="shared" si="18"/>
        <v>7973800</v>
      </c>
      <c r="K114" s="2">
        <f t="shared" si="19"/>
        <v>7148300</v>
      </c>
      <c r="L114" s="2">
        <f t="shared" si="20"/>
        <v>7973800</v>
      </c>
      <c r="M114" s="2">
        <f t="shared" si="21"/>
        <v>8083000</v>
      </c>
      <c r="N114" s="2">
        <f t="shared" si="22"/>
        <v>4235980</v>
      </c>
      <c r="O114" s="2">
        <f t="shared" si="23"/>
        <v>1427550</v>
      </c>
      <c r="P114" s="2">
        <f t="shared" si="24"/>
        <v>803744.35324523598</v>
      </c>
      <c r="Q114" s="3">
        <f t="shared" si="25"/>
        <v>174195853260.27399</v>
      </c>
      <c r="R114" s="3">
        <f t="shared" si="26"/>
        <v>139995049013.69864</v>
      </c>
      <c r="S114" s="3">
        <f t="shared" si="27"/>
        <v>174195853260.27399</v>
      </c>
      <c r="T114" s="3">
        <f t="shared" si="28"/>
        <v>178999695890.41095</v>
      </c>
      <c r="U114" s="3">
        <f t="shared" si="29"/>
        <v>49160346740.821915</v>
      </c>
      <c r="V114" s="3">
        <f t="shared" si="30"/>
        <v>5583284938.356164</v>
      </c>
      <c r="W114" s="3">
        <f t="shared" si="31"/>
        <v>1769876672.2564456</v>
      </c>
      <c r="X114" s="3">
        <f t="shared" si="32"/>
        <v>646004985373.60266</v>
      </c>
      <c r="Y114" s="3">
        <f t="shared" si="33"/>
        <v>16378719036847.438</v>
      </c>
      <c r="AK114">
        <v>8.4669799999999995</v>
      </c>
      <c r="AL114">
        <v>1000000</v>
      </c>
      <c r="AM114">
        <f t="shared" si="34"/>
        <v>8466980</v>
      </c>
      <c r="AN114">
        <v>2.8034500000000002</v>
      </c>
      <c r="AO114">
        <v>1000000</v>
      </c>
      <c r="AP114">
        <f t="shared" si="35"/>
        <v>2803450</v>
      </c>
    </row>
    <row r="115" spans="1:42" x14ac:dyDescent="0.4">
      <c r="A115">
        <v>104</v>
      </c>
      <c r="B115" s="2">
        <v>12687500</v>
      </c>
      <c r="C115" s="2">
        <v>34991800</v>
      </c>
      <c r="D115" s="2">
        <f>IF(B115&lt;2500000,2500000,B115)</f>
        <v>12687500</v>
      </c>
      <c r="E115" s="2">
        <v>13336500</v>
      </c>
      <c r="F115" s="2">
        <v>5692010</v>
      </c>
      <c r="G115" s="2">
        <v>8479170</v>
      </c>
      <c r="H115" s="2">
        <v>7963208.2089924049</v>
      </c>
      <c r="I115" s="2">
        <f>99.61*(100000)</f>
        <v>9961000</v>
      </c>
      <c r="J115" s="2">
        <f t="shared" si="18"/>
        <v>2726500</v>
      </c>
      <c r="K115" s="2">
        <f t="shared" si="19"/>
        <v>25030800</v>
      </c>
      <c r="L115" s="2">
        <f t="shared" si="20"/>
        <v>2726500</v>
      </c>
      <c r="M115" s="2">
        <f t="shared" si="21"/>
        <v>3375500</v>
      </c>
      <c r="N115" s="2">
        <f t="shared" si="22"/>
        <v>4268990</v>
      </c>
      <c r="O115" s="2">
        <f t="shared" si="23"/>
        <v>1481830</v>
      </c>
      <c r="P115" s="2">
        <f t="shared" si="24"/>
        <v>1997791.7910075951</v>
      </c>
      <c r="Q115" s="3">
        <f t="shared" si="25"/>
        <v>20366581506.849316</v>
      </c>
      <c r="R115" s="3">
        <f t="shared" si="26"/>
        <v>1716550544219.178</v>
      </c>
      <c r="S115" s="3">
        <f t="shared" si="27"/>
        <v>20366581506.849316</v>
      </c>
      <c r="T115" s="3">
        <f t="shared" si="28"/>
        <v>31216439041.09589</v>
      </c>
      <c r="U115" s="3">
        <f t="shared" si="29"/>
        <v>49929522246.849312</v>
      </c>
      <c r="V115" s="3">
        <f t="shared" si="30"/>
        <v>6015945613.4246578</v>
      </c>
      <c r="W115" s="3">
        <f t="shared" si="31"/>
        <v>10934717918.403656</v>
      </c>
      <c r="X115" s="3">
        <f t="shared" si="32"/>
        <v>3991172040217.3345</v>
      </c>
      <c r="Y115" s="3">
        <f t="shared" si="33"/>
        <v>2832276899861.1377</v>
      </c>
      <c r="AK115">
        <v>5.6920099999999998</v>
      </c>
      <c r="AL115">
        <v>1000000</v>
      </c>
      <c r="AM115">
        <f t="shared" si="34"/>
        <v>5692010</v>
      </c>
      <c r="AN115">
        <v>8.4791699999999999</v>
      </c>
      <c r="AO115">
        <v>1000000</v>
      </c>
      <c r="AP115">
        <f t="shared" si="35"/>
        <v>8479170</v>
      </c>
    </row>
    <row r="116" spans="1:42" x14ac:dyDescent="0.4">
      <c r="A116">
        <v>105</v>
      </c>
      <c r="B116" s="2">
        <v>21048500</v>
      </c>
      <c r="C116" s="2">
        <v>42492900</v>
      </c>
      <c r="D116" s="2">
        <f>IF(B116&lt;2500000,2500000,B116)</f>
        <v>21048500</v>
      </c>
      <c r="E116" s="2">
        <v>21757200</v>
      </c>
      <c r="F116" s="2">
        <v>6968300</v>
      </c>
      <c r="G116" s="2">
        <v>4775250</v>
      </c>
      <c r="H116" s="2">
        <v>9165194.2740777135</v>
      </c>
      <c r="I116" s="2">
        <f>96.61*(100000)</f>
        <v>9661000</v>
      </c>
      <c r="J116" s="2">
        <f t="shared" si="18"/>
        <v>11387500</v>
      </c>
      <c r="K116" s="2">
        <f t="shared" si="19"/>
        <v>32831900</v>
      </c>
      <c r="L116" s="2">
        <f t="shared" si="20"/>
        <v>11387500</v>
      </c>
      <c r="M116" s="2">
        <f t="shared" si="21"/>
        <v>12096200</v>
      </c>
      <c r="N116" s="2">
        <f t="shared" si="22"/>
        <v>2692700</v>
      </c>
      <c r="O116" s="2">
        <f t="shared" si="23"/>
        <v>4885750</v>
      </c>
      <c r="P116" s="2">
        <f t="shared" si="24"/>
        <v>495805.72592228651</v>
      </c>
      <c r="Q116" s="3">
        <f t="shared" si="25"/>
        <v>355274400684.93152</v>
      </c>
      <c r="R116" s="3">
        <f t="shared" si="26"/>
        <v>2953242897561.644</v>
      </c>
      <c r="S116" s="3">
        <f t="shared" si="27"/>
        <v>355274400684.93152</v>
      </c>
      <c r="T116" s="3">
        <f t="shared" si="28"/>
        <v>400871382027.39728</v>
      </c>
      <c r="U116" s="3">
        <f t="shared" si="29"/>
        <v>19864748739.726028</v>
      </c>
      <c r="V116" s="3">
        <f t="shared" si="30"/>
        <v>65398775513.698631</v>
      </c>
      <c r="W116" s="3">
        <f t="shared" si="31"/>
        <v>673488542.07486439</v>
      </c>
      <c r="X116" s="3">
        <f t="shared" si="32"/>
        <v>245823317857.3255</v>
      </c>
      <c r="Y116" s="3">
        <f t="shared" si="33"/>
        <v>1912514708080.3154</v>
      </c>
      <c r="AK116">
        <v>6.9683000000000002</v>
      </c>
      <c r="AL116">
        <v>1000000</v>
      </c>
      <c r="AM116">
        <f t="shared" si="34"/>
        <v>6968300</v>
      </c>
      <c r="AN116">
        <v>4.7752499999999998</v>
      </c>
      <c r="AO116">
        <v>1000000</v>
      </c>
      <c r="AP116">
        <f t="shared" si="35"/>
        <v>4775250</v>
      </c>
    </row>
    <row r="117" spans="1:42" x14ac:dyDescent="0.4">
      <c r="A117">
        <v>106</v>
      </c>
      <c r="B117" s="2">
        <v>18752300</v>
      </c>
      <c r="C117" s="2">
        <v>17604500</v>
      </c>
      <c r="D117" s="2">
        <f>IF(B117&lt;2500000,2500000,B117)</f>
        <v>18752300</v>
      </c>
      <c r="E117" s="2">
        <v>19134400</v>
      </c>
      <c r="F117" s="2">
        <v>6014560</v>
      </c>
      <c r="G117" s="2">
        <v>4119280</v>
      </c>
      <c r="H117" s="2">
        <v>7400535.0759019386</v>
      </c>
      <c r="I117" s="2">
        <f>75.12*(100000)</f>
        <v>7512000</v>
      </c>
      <c r="J117" s="2">
        <f t="shared" si="18"/>
        <v>11240300</v>
      </c>
      <c r="K117" s="2">
        <f t="shared" si="19"/>
        <v>10092500</v>
      </c>
      <c r="L117" s="2">
        <f t="shared" si="20"/>
        <v>11240300</v>
      </c>
      <c r="M117" s="2">
        <f t="shared" si="21"/>
        <v>11622400</v>
      </c>
      <c r="N117" s="2">
        <f t="shared" si="22"/>
        <v>1497440</v>
      </c>
      <c r="O117" s="2">
        <f t="shared" si="23"/>
        <v>3392720</v>
      </c>
      <c r="P117" s="2">
        <f t="shared" si="24"/>
        <v>111464.9240980614</v>
      </c>
      <c r="Q117" s="3">
        <f t="shared" si="25"/>
        <v>346148887917.80823</v>
      </c>
      <c r="R117" s="3">
        <f t="shared" si="26"/>
        <v>279064537671.23285</v>
      </c>
      <c r="S117" s="3">
        <f t="shared" si="27"/>
        <v>346148887917.80823</v>
      </c>
      <c r="T117" s="3">
        <f t="shared" si="28"/>
        <v>370082689753.42468</v>
      </c>
      <c r="U117" s="3">
        <f t="shared" si="29"/>
        <v>6143360420.8219175</v>
      </c>
      <c r="V117" s="3">
        <f t="shared" si="30"/>
        <v>31535750680.547947</v>
      </c>
      <c r="W117" s="3">
        <f t="shared" si="31"/>
        <v>34039532.34023723</v>
      </c>
      <c r="X117" s="3">
        <f t="shared" si="32"/>
        <v>12424429304.186588</v>
      </c>
      <c r="Y117" s="3">
        <f t="shared" si="33"/>
        <v>586852540957.02747</v>
      </c>
      <c r="AK117">
        <v>6.0145600000000004</v>
      </c>
      <c r="AL117">
        <v>1000000</v>
      </c>
      <c r="AM117">
        <f t="shared" si="34"/>
        <v>6014560</v>
      </c>
      <c r="AN117">
        <v>4.1192799999999998</v>
      </c>
      <c r="AO117">
        <v>1000000</v>
      </c>
      <c r="AP117">
        <f t="shared" si="35"/>
        <v>4119280</v>
      </c>
    </row>
    <row r="118" spans="1:42" x14ac:dyDescent="0.4">
      <c r="A118">
        <v>107</v>
      </c>
      <c r="B118" s="2">
        <v>16449600</v>
      </c>
      <c r="C118" s="2">
        <v>6961510</v>
      </c>
      <c r="D118" s="2">
        <f>IF(B118&lt;2500000,2500000,B118)</f>
        <v>16449600</v>
      </c>
      <c r="E118" s="2">
        <v>12145400</v>
      </c>
      <c r="F118" s="2">
        <v>5185600</v>
      </c>
      <c r="G118" s="2">
        <v>8174070</v>
      </c>
      <c r="H118" s="2">
        <v>6785495.2748022405</v>
      </c>
      <c r="I118" s="2">
        <f>64.09*(100000)</f>
        <v>6409000</v>
      </c>
      <c r="J118" s="2">
        <f t="shared" si="18"/>
        <v>10040600</v>
      </c>
      <c r="K118" s="2">
        <f t="shared" si="19"/>
        <v>552510</v>
      </c>
      <c r="L118" s="2">
        <f t="shared" si="20"/>
        <v>10040600</v>
      </c>
      <c r="M118" s="2">
        <f t="shared" si="21"/>
        <v>5736400</v>
      </c>
      <c r="N118" s="2">
        <f t="shared" si="22"/>
        <v>1223400</v>
      </c>
      <c r="O118" s="2">
        <f t="shared" si="23"/>
        <v>1765070</v>
      </c>
      <c r="P118" s="2">
        <f t="shared" si="24"/>
        <v>376495.27480224054</v>
      </c>
      <c r="Q118" s="3">
        <f t="shared" si="25"/>
        <v>276201776328.76715</v>
      </c>
      <c r="R118" s="3">
        <f t="shared" si="26"/>
        <v>836348767.39726031</v>
      </c>
      <c r="S118" s="3">
        <f t="shared" si="27"/>
        <v>276201776328.76715</v>
      </c>
      <c r="T118" s="3">
        <f t="shared" si="28"/>
        <v>90154205369.863007</v>
      </c>
      <c r="U118" s="3">
        <f t="shared" si="29"/>
        <v>4100568657.5342464</v>
      </c>
      <c r="V118" s="3">
        <f t="shared" si="30"/>
        <v>8535540013.4246578</v>
      </c>
      <c r="W118" s="3">
        <f t="shared" si="31"/>
        <v>388352580.68058801</v>
      </c>
      <c r="X118" s="3">
        <f t="shared" si="32"/>
        <v>141748691948.41461</v>
      </c>
      <c r="Y118" s="3">
        <f t="shared" si="33"/>
        <v>3493396549176.2051</v>
      </c>
      <c r="AK118">
        <v>5.1856</v>
      </c>
      <c r="AL118">
        <v>1000000</v>
      </c>
      <c r="AM118">
        <f t="shared" si="34"/>
        <v>5185600</v>
      </c>
      <c r="AN118">
        <v>8.1740700000000004</v>
      </c>
      <c r="AO118">
        <v>1000000</v>
      </c>
      <c r="AP118">
        <f t="shared" si="35"/>
        <v>8174070</v>
      </c>
    </row>
    <row r="119" spans="1:42" x14ac:dyDescent="0.4">
      <c r="A119">
        <v>108</v>
      </c>
      <c r="B119" s="2">
        <v>13728200</v>
      </c>
      <c r="C119" s="2">
        <v>3082070</v>
      </c>
      <c r="D119" s="2">
        <f>IF(B119&lt;2500000,2500000,B119)</f>
        <v>13728200</v>
      </c>
      <c r="E119" s="2">
        <v>14109300</v>
      </c>
      <c r="F119" s="2">
        <v>4500120</v>
      </c>
      <c r="G119" s="2">
        <v>3121910</v>
      </c>
      <c r="H119" s="2">
        <v>6090933.6619774997</v>
      </c>
      <c r="I119" s="2">
        <f>59.63*(100000)</f>
        <v>5963000</v>
      </c>
      <c r="J119" s="2">
        <f t="shared" si="18"/>
        <v>7765200</v>
      </c>
      <c r="K119" s="2">
        <f t="shared" si="19"/>
        <v>2880930</v>
      </c>
      <c r="L119" s="2">
        <f t="shared" si="20"/>
        <v>7765200</v>
      </c>
      <c r="M119" s="2">
        <f t="shared" si="21"/>
        <v>8146300</v>
      </c>
      <c r="N119" s="2">
        <f t="shared" si="22"/>
        <v>1462880</v>
      </c>
      <c r="O119" s="2">
        <f t="shared" si="23"/>
        <v>2841090</v>
      </c>
      <c r="P119" s="2">
        <f t="shared" si="24"/>
        <v>127933.66197749972</v>
      </c>
      <c r="Q119" s="3">
        <f t="shared" si="25"/>
        <v>165200906958.90411</v>
      </c>
      <c r="R119" s="3">
        <f t="shared" si="26"/>
        <v>22739062095.61644</v>
      </c>
      <c r="S119" s="3">
        <f t="shared" si="27"/>
        <v>165200906958.90411</v>
      </c>
      <c r="T119" s="3">
        <f t="shared" si="28"/>
        <v>181814256684.93152</v>
      </c>
      <c r="U119" s="3">
        <f t="shared" si="29"/>
        <v>5863062724.3835621</v>
      </c>
      <c r="V119" s="3">
        <f t="shared" si="30"/>
        <v>22114499693.424656</v>
      </c>
      <c r="W119" s="3">
        <f t="shared" si="31"/>
        <v>44841155.79992646</v>
      </c>
      <c r="X119" s="3">
        <f t="shared" si="32"/>
        <v>16367021866.973158</v>
      </c>
      <c r="Y119" s="3">
        <f t="shared" si="33"/>
        <v>5359516757395.3828</v>
      </c>
      <c r="AK119">
        <v>4.5001199999999999</v>
      </c>
      <c r="AL119">
        <v>1000000</v>
      </c>
      <c r="AM119">
        <f t="shared" si="34"/>
        <v>4500120</v>
      </c>
      <c r="AN119">
        <v>3.1219100000000002</v>
      </c>
      <c r="AO119">
        <v>1000000</v>
      </c>
      <c r="AP119">
        <f t="shared" si="35"/>
        <v>3121910</v>
      </c>
    </row>
    <row r="120" spans="1:42" x14ac:dyDescent="0.4">
      <c r="A120">
        <v>109</v>
      </c>
      <c r="B120" s="2">
        <v>6962040</v>
      </c>
      <c r="C120" s="2">
        <v>5886020</v>
      </c>
      <c r="D120" s="2">
        <f>IF(B120&lt;2500000,2500000,B120)</f>
        <v>6962040</v>
      </c>
      <c r="E120" s="2">
        <v>11426500</v>
      </c>
      <c r="F120" s="2">
        <v>3946590</v>
      </c>
      <c r="G120" s="2">
        <v>2774000</v>
      </c>
      <c r="H120" s="2">
        <v>5748436.9097519927</v>
      </c>
      <c r="I120" s="2">
        <f>55.93*(100000)</f>
        <v>5593000</v>
      </c>
      <c r="J120" s="2">
        <f t="shared" si="18"/>
        <v>1369040</v>
      </c>
      <c r="K120" s="2">
        <f t="shared" si="19"/>
        <v>293020</v>
      </c>
      <c r="L120" s="2">
        <f t="shared" si="20"/>
        <v>1369040</v>
      </c>
      <c r="M120" s="2">
        <f t="shared" si="21"/>
        <v>5833500</v>
      </c>
      <c r="N120" s="2">
        <f t="shared" si="22"/>
        <v>1646410</v>
      </c>
      <c r="O120" s="2">
        <f t="shared" si="23"/>
        <v>2819000</v>
      </c>
      <c r="P120" s="2">
        <f t="shared" si="24"/>
        <v>155436.90975199267</v>
      </c>
      <c r="Q120" s="3">
        <f t="shared" si="25"/>
        <v>5134987730.4109592</v>
      </c>
      <c r="R120" s="3">
        <f t="shared" si="26"/>
        <v>235234850.41095892</v>
      </c>
      <c r="S120" s="3">
        <f t="shared" si="27"/>
        <v>5134987730.4109592</v>
      </c>
      <c r="T120" s="3">
        <f t="shared" si="28"/>
        <v>93232115753.424652</v>
      </c>
      <c r="U120" s="3">
        <f t="shared" si="29"/>
        <v>7426481885.2054796</v>
      </c>
      <c r="V120" s="3">
        <f t="shared" si="30"/>
        <v>21771947945.205479</v>
      </c>
      <c r="W120" s="3">
        <f t="shared" si="31"/>
        <v>66193514.830819495</v>
      </c>
      <c r="X120" s="3">
        <f t="shared" si="32"/>
        <v>24160632913.249115</v>
      </c>
      <c r="Y120" s="3">
        <f t="shared" si="33"/>
        <v>7209563387532.3691</v>
      </c>
      <c r="AK120">
        <v>3.94659</v>
      </c>
      <c r="AL120">
        <v>1000000</v>
      </c>
      <c r="AM120">
        <f t="shared" si="34"/>
        <v>3946590</v>
      </c>
      <c r="AN120">
        <v>2.774</v>
      </c>
      <c r="AO120">
        <v>1000000</v>
      </c>
      <c r="AP120">
        <f t="shared" si="35"/>
        <v>2774000</v>
      </c>
    </row>
    <row r="121" spans="1:42" x14ac:dyDescent="0.4">
      <c r="A121">
        <v>110</v>
      </c>
      <c r="B121" s="2">
        <v>9957820</v>
      </c>
      <c r="C121" s="2">
        <v>2900160</v>
      </c>
      <c r="D121" s="2">
        <f>IF(B121&lt;2500000,2500000,B121)</f>
        <v>9957820</v>
      </c>
      <c r="E121" s="2">
        <v>5440480</v>
      </c>
      <c r="F121" s="2">
        <v>3637590</v>
      </c>
      <c r="G121" s="2">
        <v>7161970</v>
      </c>
      <c r="H121" s="2">
        <v>5549379.6098644966</v>
      </c>
      <c r="I121" s="2">
        <f>54.57*(100000)</f>
        <v>5457000</v>
      </c>
      <c r="J121" s="2">
        <f t="shared" si="18"/>
        <v>4500820</v>
      </c>
      <c r="K121" s="2">
        <f t="shared" si="19"/>
        <v>2556840</v>
      </c>
      <c r="L121" s="2">
        <f t="shared" si="20"/>
        <v>4500820</v>
      </c>
      <c r="M121" s="2">
        <f t="shared" si="21"/>
        <v>16520</v>
      </c>
      <c r="N121" s="2">
        <f t="shared" si="22"/>
        <v>1819410</v>
      </c>
      <c r="O121" s="2">
        <f t="shared" si="23"/>
        <v>1704970</v>
      </c>
      <c r="P121" s="2">
        <f t="shared" si="24"/>
        <v>92379.609864496626</v>
      </c>
      <c r="Q121" s="3">
        <f t="shared" si="25"/>
        <v>55499673075.068497</v>
      </c>
      <c r="R121" s="3">
        <f t="shared" si="26"/>
        <v>17910769275.61644</v>
      </c>
      <c r="S121" s="3">
        <f t="shared" si="27"/>
        <v>55499673075.068497</v>
      </c>
      <c r="T121" s="3">
        <f t="shared" si="28"/>
        <v>747699.72602739721</v>
      </c>
      <c r="U121" s="3">
        <f t="shared" si="29"/>
        <v>9069185611.2328758</v>
      </c>
      <c r="V121" s="3">
        <f t="shared" si="30"/>
        <v>7964171783.2876711</v>
      </c>
      <c r="W121" s="3">
        <f t="shared" si="31"/>
        <v>23380800.87319617</v>
      </c>
      <c r="X121" s="3">
        <f t="shared" si="32"/>
        <v>8533992318.7166023</v>
      </c>
      <c r="Y121" s="3">
        <f t="shared" si="33"/>
        <v>7958396527258.3965</v>
      </c>
      <c r="AK121">
        <v>3.6375899999999999</v>
      </c>
      <c r="AL121">
        <v>1000000</v>
      </c>
      <c r="AM121">
        <f t="shared" si="34"/>
        <v>3637590</v>
      </c>
      <c r="AN121">
        <v>7.1619700000000002</v>
      </c>
      <c r="AO121">
        <v>1000000</v>
      </c>
      <c r="AP121">
        <f t="shared" si="35"/>
        <v>7161970</v>
      </c>
    </row>
    <row r="122" spans="1:42" x14ac:dyDescent="0.4">
      <c r="A122">
        <v>111</v>
      </c>
      <c r="B122" s="2">
        <v>3849870</v>
      </c>
      <c r="C122" s="2">
        <v>989010</v>
      </c>
      <c r="D122" s="2">
        <f>IF(B122&lt;2500000,2500000,B122)</f>
        <v>3849870</v>
      </c>
      <c r="E122" s="2">
        <v>3738560</v>
      </c>
      <c r="F122" s="2">
        <v>3197260</v>
      </c>
      <c r="G122" s="2">
        <v>2312600</v>
      </c>
      <c r="H122" s="2">
        <v>5123674.72857555</v>
      </c>
      <c r="I122" s="2">
        <f>49.65*(100000)</f>
        <v>4965000</v>
      </c>
      <c r="J122" s="2">
        <f t="shared" si="18"/>
        <v>1115130</v>
      </c>
      <c r="K122" s="2">
        <f t="shared" si="19"/>
        <v>3975990</v>
      </c>
      <c r="L122" s="2">
        <f t="shared" si="20"/>
        <v>1115130</v>
      </c>
      <c r="M122" s="2">
        <f t="shared" si="21"/>
        <v>1226440</v>
      </c>
      <c r="N122" s="2">
        <f t="shared" si="22"/>
        <v>1767740</v>
      </c>
      <c r="O122" s="2">
        <f t="shared" si="23"/>
        <v>2652400</v>
      </c>
      <c r="P122" s="2">
        <f t="shared" si="24"/>
        <v>158674.72857555002</v>
      </c>
      <c r="Q122" s="3">
        <f t="shared" si="25"/>
        <v>3406890183.2876711</v>
      </c>
      <c r="R122" s="3">
        <f t="shared" si="26"/>
        <v>43310949260.547943</v>
      </c>
      <c r="S122" s="3">
        <f t="shared" si="27"/>
        <v>3406890183.2876711</v>
      </c>
      <c r="T122" s="3">
        <f t="shared" si="28"/>
        <v>4120972804.3835616</v>
      </c>
      <c r="U122" s="3">
        <f t="shared" si="29"/>
        <v>8561382760.547945</v>
      </c>
      <c r="V122" s="3">
        <f t="shared" si="30"/>
        <v>19274591123.28767</v>
      </c>
      <c r="W122" s="3">
        <f t="shared" si="31"/>
        <v>68979916.406916365</v>
      </c>
      <c r="X122" s="3">
        <f t="shared" si="32"/>
        <v>25177669488.524471</v>
      </c>
      <c r="Y122" s="3">
        <f t="shared" si="33"/>
        <v>10976386532737.85</v>
      </c>
      <c r="AK122">
        <v>3.19726</v>
      </c>
      <c r="AL122">
        <v>1000000</v>
      </c>
      <c r="AM122">
        <f t="shared" si="34"/>
        <v>3197260</v>
      </c>
      <c r="AN122">
        <v>2.3126000000000002</v>
      </c>
      <c r="AO122">
        <v>1000000</v>
      </c>
      <c r="AP122">
        <f t="shared" si="35"/>
        <v>2312600</v>
      </c>
    </row>
    <row r="123" spans="1:42" x14ac:dyDescent="0.4">
      <c r="A123">
        <v>112</v>
      </c>
      <c r="B123" s="2">
        <v>2635290</v>
      </c>
      <c r="C123" s="2">
        <v>440673</v>
      </c>
      <c r="D123" s="2">
        <f>IF(B123&lt;2500000,2500000,B123)</f>
        <v>2635290</v>
      </c>
      <c r="E123" s="2">
        <v>6971550</v>
      </c>
      <c r="F123" s="2">
        <v>2823760</v>
      </c>
      <c r="G123" s="2">
        <v>2079370</v>
      </c>
      <c r="H123" s="2">
        <v>4852514.4722327162</v>
      </c>
      <c r="I123" s="2">
        <f>48.16*(100000)</f>
        <v>4816000</v>
      </c>
      <c r="J123" s="2">
        <f t="shared" si="18"/>
        <v>2180710</v>
      </c>
      <c r="K123" s="2">
        <f t="shared" si="19"/>
        <v>4375327</v>
      </c>
      <c r="L123" s="2">
        <f t="shared" si="20"/>
        <v>2180710</v>
      </c>
      <c r="M123" s="2">
        <f t="shared" si="21"/>
        <v>2155550</v>
      </c>
      <c r="N123" s="2">
        <f t="shared" si="22"/>
        <v>1992240</v>
      </c>
      <c r="O123" s="2">
        <f t="shared" si="23"/>
        <v>2736630</v>
      </c>
      <c r="P123" s="2">
        <f t="shared" si="24"/>
        <v>36514.472232716158</v>
      </c>
      <c r="Q123" s="3">
        <f t="shared" si="25"/>
        <v>13028756449.589041</v>
      </c>
      <c r="R123" s="3">
        <f t="shared" si="26"/>
        <v>52447907827.202744</v>
      </c>
      <c r="S123" s="3">
        <f t="shared" si="27"/>
        <v>13028756449.589041</v>
      </c>
      <c r="T123" s="3">
        <f t="shared" si="28"/>
        <v>12729851513.698629</v>
      </c>
      <c r="U123" s="3">
        <f t="shared" si="29"/>
        <v>10874027993.424658</v>
      </c>
      <c r="V123" s="3">
        <f t="shared" si="30"/>
        <v>20518202073.698631</v>
      </c>
      <c r="W123" s="3">
        <f t="shared" si="31"/>
        <v>3652895.0203665732</v>
      </c>
      <c r="X123" s="3">
        <f t="shared" si="32"/>
        <v>1333306682.4337993</v>
      </c>
      <c r="Y123" s="3">
        <f t="shared" si="33"/>
        <v>11985880310820.041</v>
      </c>
      <c r="AK123">
        <v>2.82376</v>
      </c>
      <c r="AL123">
        <v>1000000</v>
      </c>
      <c r="AM123">
        <f t="shared" si="34"/>
        <v>2823760</v>
      </c>
      <c r="AN123">
        <v>2.0793699999999999</v>
      </c>
      <c r="AO123">
        <v>1000000</v>
      </c>
      <c r="AP123">
        <f t="shared" si="35"/>
        <v>2079370</v>
      </c>
    </row>
    <row r="124" spans="1:42" x14ac:dyDescent="0.4">
      <c r="A124">
        <v>113</v>
      </c>
      <c r="B124" s="2">
        <v>6514050</v>
      </c>
      <c r="C124" s="2">
        <v>202747</v>
      </c>
      <c r="D124" s="2">
        <f>IF(B124&lt;2500000,2500000,B124)</f>
        <v>6514050</v>
      </c>
      <c r="E124" s="2">
        <v>1844130</v>
      </c>
      <c r="F124" s="2">
        <v>2498030</v>
      </c>
      <c r="G124" s="2">
        <v>1874120</v>
      </c>
      <c r="H124" s="2">
        <v>4630011.8167739352</v>
      </c>
      <c r="I124" s="2">
        <f>49.06*(100000)</f>
        <v>4906000</v>
      </c>
      <c r="J124" s="2">
        <f t="shared" si="18"/>
        <v>1608050</v>
      </c>
      <c r="K124" s="2">
        <f t="shared" si="19"/>
        <v>4703253</v>
      </c>
      <c r="L124" s="2">
        <f t="shared" si="20"/>
        <v>1608050</v>
      </c>
      <c r="M124" s="2">
        <f t="shared" si="21"/>
        <v>3061870</v>
      </c>
      <c r="N124" s="2">
        <f t="shared" si="22"/>
        <v>2407970</v>
      </c>
      <c r="O124" s="2">
        <f t="shared" si="23"/>
        <v>3031880</v>
      </c>
      <c r="P124" s="2">
        <f t="shared" si="24"/>
        <v>275988.18322606478</v>
      </c>
      <c r="Q124" s="3">
        <f t="shared" si="25"/>
        <v>7084451513.6986303</v>
      </c>
      <c r="R124" s="3">
        <f t="shared" si="26"/>
        <v>60604352827.421921</v>
      </c>
      <c r="S124" s="3">
        <f t="shared" si="27"/>
        <v>7084451513.6986303</v>
      </c>
      <c r="T124" s="3">
        <f t="shared" si="28"/>
        <v>25685062731.232876</v>
      </c>
      <c r="U124" s="3">
        <f t="shared" si="29"/>
        <v>15885806906.575342</v>
      </c>
      <c r="V124" s="3">
        <f t="shared" si="30"/>
        <v>25184373518.90411</v>
      </c>
      <c r="W124" s="3">
        <f t="shared" si="31"/>
        <v>208683499.39842165</v>
      </c>
      <c r="X124" s="3">
        <f t="shared" si="32"/>
        <v>76169477280.423904</v>
      </c>
      <c r="Y124" s="3">
        <f t="shared" si="33"/>
        <v>11370808968354.287</v>
      </c>
      <c r="AK124">
        <v>2.49803</v>
      </c>
      <c r="AL124">
        <v>1000000</v>
      </c>
      <c r="AM124">
        <f t="shared" si="34"/>
        <v>2498030</v>
      </c>
      <c r="AN124">
        <v>1.87412</v>
      </c>
      <c r="AO124">
        <v>1000000</v>
      </c>
      <c r="AP124">
        <f t="shared" si="35"/>
        <v>1874120</v>
      </c>
    </row>
    <row r="125" spans="1:42" x14ac:dyDescent="0.4">
      <c r="A125">
        <v>114</v>
      </c>
      <c r="B125" s="2">
        <v>1629550</v>
      </c>
      <c r="C125" s="2">
        <v>97210.8</v>
      </c>
      <c r="D125" s="2">
        <f>IF(B125&lt;2500000,2500000,B125)</f>
        <v>2500000</v>
      </c>
      <c r="E125" s="2">
        <v>1445190</v>
      </c>
      <c r="F125" s="2">
        <v>2215660</v>
      </c>
      <c r="G125" s="2">
        <v>6218150</v>
      </c>
      <c r="H125" s="2">
        <v>4448265.9143750239</v>
      </c>
      <c r="I125" s="2">
        <f>50.1*(100000)</f>
        <v>5010000</v>
      </c>
      <c r="J125" s="2">
        <f t="shared" si="18"/>
        <v>3380450</v>
      </c>
      <c r="K125" s="2">
        <f t="shared" si="19"/>
        <v>4912789.2</v>
      </c>
      <c r="L125" s="2">
        <f t="shared" si="20"/>
        <v>2510000</v>
      </c>
      <c r="M125" s="2">
        <f t="shared" si="21"/>
        <v>3564810</v>
      </c>
      <c r="N125" s="2">
        <f t="shared" si="22"/>
        <v>2794340</v>
      </c>
      <c r="O125" s="2">
        <f t="shared" si="23"/>
        <v>1208150</v>
      </c>
      <c r="P125" s="2">
        <f t="shared" si="24"/>
        <v>561734.08562497608</v>
      </c>
      <c r="Q125" s="3">
        <f t="shared" si="25"/>
        <v>31308060828.767124</v>
      </c>
      <c r="R125" s="3">
        <f t="shared" si="26"/>
        <v>66124651297.634628</v>
      </c>
      <c r="S125" s="3">
        <f t="shared" si="27"/>
        <v>17260547945.205479</v>
      </c>
      <c r="T125" s="3">
        <f t="shared" si="28"/>
        <v>34816083112.602737</v>
      </c>
      <c r="U125" s="3">
        <f t="shared" si="29"/>
        <v>21392701467.397259</v>
      </c>
      <c r="V125" s="3">
        <f t="shared" si="30"/>
        <v>3998976500</v>
      </c>
      <c r="W125" s="3">
        <f t="shared" si="31"/>
        <v>864507350.55596709</v>
      </c>
      <c r="X125" s="3">
        <f t="shared" si="32"/>
        <v>315545182952.92798</v>
      </c>
      <c r="Y125" s="3">
        <f t="shared" si="33"/>
        <v>10680235861504.973</v>
      </c>
      <c r="AK125">
        <v>2.2156600000000002</v>
      </c>
      <c r="AL125">
        <v>1000000</v>
      </c>
      <c r="AM125">
        <f t="shared" si="34"/>
        <v>2215660</v>
      </c>
      <c r="AN125">
        <v>6.2181499999999996</v>
      </c>
      <c r="AO125">
        <v>1000000</v>
      </c>
      <c r="AP125">
        <f t="shared" si="35"/>
        <v>6218150</v>
      </c>
    </row>
    <row r="126" spans="1:42" x14ac:dyDescent="0.4">
      <c r="A126">
        <v>115</v>
      </c>
      <c r="B126" s="2">
        <v>11510000</v>
      </c>
      <c r="C126" s="2">
        <v>49176800</v>
      </c>
      <c r="D126" s="2">
        <f>IF(B126&lt;2500000,2500000,B126)</f>
        <v>11510000</v>
      </c>
      <c r="E126" s="2">
        <v>12166900</v>
      </c>
      <c r="F126" s="2">
        <v>5553820</v>
      </c>
      <c r="G126" s="2">
        <v>3946740</v>
      </c>
      <c r="H126" s="2">
        <v>8915436.6020470522</v>
      </c>
      <c r="I126" s="2">
        <f>84.41*(100000)</f>
        <v>8441000</v>
      </c>
      <c r="J126" s="2">
        <f t="shared" si="18"/>
        <v>3069000</v>
      </c>
      <c r="K126" s="2">
        <f t="shared" si="19"/>
        <v>40735800</v>
      </c>
      <c r="L126" s="2">
        <f t="shared" si="20"/>
        <v>3069000</v>
      </c>
      <c r="M126" s="2">
        <f t="shared" si="21"/>
        <v>3725900</v>
      </c>
      <c r="N126" s="2">
        <f t="shared" si="22"/>
        <v>2887180</v>
      </c>
      <c r="O126" s="2">
        <f t="shared" si="23"/>
        <v>4494260</v>
      </c>
      <c r="P126" s="2">
        <f t="shared" si="24"/>
        <v>474436.60204705223</v>
      </c>
      <c r="Q126" s="3">
        <f t="shared" si="25"/>
        <v>25804824657.534248</v>
      </c>
      <c r="R126" s="3">
        <f t="shared" si="26"/>
        <v>4546316168876.7119</v>
      </c>
      <c r="S126" s="3">
        <f t="shared" si="27"/>
        <v>25804824657.534248</v>
      </c>
      <c r="T126" s="3">
        <f t="shared" si="28"/>
        <v>38033783041.095894</v>
      </c>
      <c r="U126" s="3">
        <f t="shared" si="29"/>
        <v>22837831102.465752</v>
      </c>
      <c r="V126" s="3">
        <f t="shared" si="30"/>
        <v>55338008075.61644</v>
      </c>
      <c r="W126" s="3">
        <f t="shared" si="31"/>
        <v>616685176.33411777</v>
      </c>
      <c r="X126" s="3">
        <f t="shared" si="32"/>
        <v>225090089361.953</v>
      </c>
      <c r="Y126" s="3">
        <f t="shared" si="33"/>
        <v>26548461504.972824</v>
      </c>
      <c r="AK126">
        <v>5.55382</v>
      </c>
      <c r="AL126">
        <v>1000000</v>
      </c>
      <c r="AM126">
        <f t="shared" si="34"/>
        <v>5553820</v>
      </c>
      <c r="AN126">
        <v>3.9467400000000001</v>
      </c>
      <c r="AO126">
        <v>1000000</v>
      </c>
      <c r="AP126">
        <f t="shared" si="35"/>
        <v>3946740</v>
      </c>
    </row>
    <row r="127" spans="1:42" x14ac:dyDescent="0.4">
      <c r="A127">
        <v>116</v>
      </c>
      <c r="B127" s="2">
        <v>15879300</v>
      </c>
      <c r="C127" s="2">
        <v>26494500</v>
      </c>
      <c r="D127" s="2">
        <f>IF(B127&lt;2500000,2500000,B127)</f>
        <v>15879300</v>
      </c>
      <c r="E127" s="2">
        <v>16441700</v>
      </c>
      <c r="F127" s="2">
        <v>5190320</v>
      </c>
      <c r="G127" s="2">
        <v>3659840</v>
      </c>
      <c r="H127" s="2">
        <v>6965495.3697552644</v>
      </c>
      <c r="I127" s="2">
        <f>55.3*(100000)</f>
        <v>5530000</v>
      </c>
      <c r="J127" s="2">
        <f t="shared" si="18"/>
        <v>10349300</v>
      </c>
      <c r="K127" s="2">
        <f t="shared" si="19"/>
        <v>20964500</v>
      </c>
      <c r="L127" s="2">
        <f t="shared" si="20"/>
        <v>10349300</v>
      </c>
      <c r="M127" s="2">
        <f t="shared" si="21"/>
        <v>10911700</v>
      </c>
      <c r="N127" s="2">
        <f t="shared" si="22"/>
        <v>339680</v>
      </c>
      <c r="O127" s="2">
        <f t="shared" si="23"/>
        <v>1870160</v>
      </c>
      <c r="P127" s="2">
        <f t="shared" si="24"/>
        <v>1435495.3697552644</v>
      </c>
      <c r="Q127" s="3">
        <f t="shared" si="25"/>
        <v>293446604082.19177</v>
      </c>
      <c r="R127" s="3">
        <f t="shared" si="26"/>
        <v>1204137699315.0686</v>
      </c>
      <c r="S127" s="3">
        <f t="shared" si="27"/>
        <v>293446604082.19177</v>
      </c>
      <c r="T127" s="3">
        <f t="shared" si="28"/>
        <v>326206018876.71234</v>
      </c>
      <c r="U127" s="3">
        <f t="shared" si="29"/>
        <v>316116444.93150687</v>
      </c>
      <c r="V127" s="3">
        <f t="shared" si="30"/>
        <v>9582187467.3972607</v>
      </c>
      <c r="W127" s="3">
        <f t="shared" si="31"/>
        <v>5645608100.2432966</v>
      </c>
      <c r="X127" s="3">
        <f t="shared" si="32"/>
        <v>2060646956588.8032</v>
      </c>
      <c r="Y127" s="3">
        <f t="shared" si="33"/>
        <v>7551850327258.3965</v>
      </c>
      <c r="AK127">
        <v>5.1903199999999998</v>
      </c>
      <c r="AL127">
        <v>1000000</v>
      </c>
      <c r="AM127">
        <f t="shared" si="34"/>
        <v>5190320</v>
      </c>
      <c r="AN127">
        <v>3.65984</v>
      </c>
      <c r="AO127">
        <v>1000000</v>
      </c>
      <c r="AP127">
        <f t="shared" si="35"/>
        <v>3659840</v>
      </c>
    </row>
    <row r="128" spans="1:42" x14ac:dyDescent="0.4">
      <c r="A128">
        <v>117</v>
      </c>
      <c r="B128" s="2">
        <v>10194600</v>
      </c>
      <c r="C128" s="2">
        <v>9730820</v>
      </c>
      <c r="D128" s="2">
        <f>IF(B128&lt;2500000,2500000,B128)</f>
        <v>10194600</v>
      </c>
      <c r="E128" s="2">
        <v>10493000</v>
      </c>
      <c r="F128" s="2">
        <v>4458570</v>
      </c>
      <c r="G128" s="2">
        <v>3155530</v>
      </c>
      <c r="H128" s="2">
        <v>6329913.3188468143</v>
      </c>
      <c r="I128" s="2">
        <f>51.68*(100000)</f>
        <v>5168000</v>
      </c>
      <c r="J128" s="2">
        <f t="shared" si="18"/>
        <v>5026600</v>
      </c>
      <c r="K128" s="2">
        <f t="shared" si="19"/>
        <v>4562820</v>
      </c>
      <c r="L128" s="2">
        <f t="shared" si="20"/>
        <v>5026600</v>
      </c>
      <c r="M128" s="2">
        <f t="shared" si="21"/>
        <v>5325000</v>
      </c>
      <c r="N128" s="2">
        <f t="shared" si="22"/>
        <v>709430</v>
      </c>
      <c r="O128" s="2">
        <f t="shared" si="23"/>
        <v>2012470</v>
      </c>
      <c r="P128" s="2">
        <f t="shared" si="24"/>
        <v>1161913.3188468143</v>
      </c>
      <c r="Q128" s="3">
        <f t="shared" si="25"/>
        <v>69223856328.76712</v>
      </c>
      <c r="R128" s="3">
        <f t="shared" si="26"/>
        <v>57039250280.547943</v>
      </c>
      <c r="S128" s="3">
        <f t="shared" si="27"/>
        <v>69223856328.76712</v>
      </c>
      <c r="T128" s="3">
        <f t="shared" si="28"/>
        <v>77686643835.61644</v>
      </c>
      <c r="U128" s="3">
        <f t="shared" si="29"/>
        <v>1378879246.3013699</v>
      </c>
      <c r="V128" s="3">
        <f t="shared" si="30"/>
        <v>11095987673.698629</v>
      </c>
      <c r="W128" s="3">
        <f t="shared" si="31"/>
        <v>3698746741.1332026</v>
      </c>
      <c r="X128" s="3">
        <f t="shared" si="32"/>
        <v>1350042560513.6189</v>
      </c>
      <c r="Y128" s="3">
        <f t="shared" si="33"/>
        <v>9672491949176.2051</v>
      </c>
      <c r="AK128">
        <v>4.4585699999999999</v>
      </c>
      <c r="AL128">
        <v>1000000</v>
      </c>
      <c r="AM128">
        <f t="shared" si="34"/>
        <v>4458570</v>
      </c>
      <c r="AN128">
        <v>3.1555300000000002</v>
      </c>
      <c r="AO128">
        <v>1000000</v>
      </c>
      <c r="AP128">
        <f t="shared" si="35"/>
        <v>3155530</v>
      </c>
    </row>
    <row r="129" spans="1:42" x14ac:dyDescent="0.4">
      <c r="A129">
        <v>118</v>
      </c>
      <c r="B129" s="2">
        <v>12911700</v>
      </c>
      <c r="C129" s="2">
        <v>4147770.0000000005</v>
      </c>
      <c r="D129" s="2">
        <f>IF(B129&lt;2500000,2500000,B129)</f>
        <v>12911700</v>
      </c>
      <c r="E129" s="2">
        <v>13058300</v>
      </c>
      <c r="F129" s="2">
        <v>3825240</v>
      </c>
      <c r="G129" s="2">
        <v>7301640</v>
      </c>
      <c r="H129" s="2">
        <v>5787366.564585574</v>
      </c>
      <c r="I129" s="2">
        <f>79.24*(100000)</f>
        <v>7923999.9999999991</v>
      </c>
      <c r="J129" s="2">
        <f t="shared" si="18"/>
        <v>4987700.0000000009</v>
      </c>
      <c r="K129" s="2">
        <f t="shared" si="19"/>
        <v>3776229.9999999986</v>
      </c>
      <c r="L129" s="2">
        <f t="shared" si="20"/>
        <v>4987700.0000000009</v>
      </c>
      <c r="M129" s="2">
        <f t="shared" si="21"/>
        <v>5134300.0000000009</v>
      </c>
      <c r="N129" s="2">
        <f t="shared" si="22"/>
        <v>4098759.9999999991</v>
      </c>
      <c r="O129" s="2">
        <f t="shared" si="23"/>
        <v>622359.99999999907</v>
      </c>
      <c r="P129" s="2">
        <f t="shared" si="24"/>
        <v>2136633.4354144251</v>
      </c>
      <c r="Q129" s="3">
        <f t="shared" si="25"/>
        <v>68156578876.712349</v>
      </c>
      <c r="R129" s="3">
        <f t="shared" si="26"/>
        <v>39068254829.862984</v>
      </c>
      <c r="S129" s="3">
        <f t="shared" si="27"/>
        <v>68156578876.712349</v>
      </c>
      <c r="T129" s="3">
        <f t="shared" si="28"/>
        <v>72222017780.821945</v>
      </c>
      <c r="U129" s="3">
        <f t="shared" si="29"/>
        <v>46026941198.904091</v>
      </c>
      <c r="V129" s="3">
        <f t="shared" si="30"/>
        <v>1061183478.3561612</v>
      </c>
      <c r="W129" s="3">
        <f t="shared" si="31"/>
        <v>12507403937.892736</v>
      </c>
      <c r="X129" s="3">
        <f t="shared" si="32"/>
        <v>4565202437330.8486</v>
      </c>
      <c r="Y129" s="3">
        <f t="shared" si="33"/>
        <v>125360617669.35693</v>
      </c>
      <c r="AK129">
        <v>3.82524</v>
      </c>
      <c r="AL129">
        <v>1000000</v>
      </c>
      <c r="AM129">
        <f t="shared" si="34"/>
        <v>3825240</v>
      </c>
      <c r="AN129">
        <v>7.3016399999999999</v>
      </c>
      <c r="AO129">
        <v>1000000</v>
      </c>
      <c r="AP129">
        <f t="shared" si="35"/>
        <v>7301640</v>
      </c>
    </row>
    <row r="130" spans="1:42" x14ac:dyDescent="0.4">
      <c r="A130">
        <v>119</v>
      </c>
      <c r="B130" s="2">
        <v>26550400</v>
      </c>
      <c r="C130" s="2">
        <v>100138000</v>
      </c>
      <c r="D130" s="2">
        <f>IF(B130&lt;2500000,2500000,B130)</f>
        <v>26550400</v>
      </c>
      <c r="E130" s="2">
        <v>28264600</v>
      </c>
      <c r="F130" s="2">
        <v>10508300</v>
      </c>
      <c r="G130" s="2">
        <v>7224770</v>
      </c>
      <c r="H130" s="2">
        <v>17231684.054479059</v>
      </c>
      <c r="I130" s="2">
        <f>128.04*(100000)</f>
        <v>12804000</v>
      </c>
      <c r="J130" s="2">
        <f t="shared" si="18"/>
        <v>13746400</v>
      </c>
      <c r="K130" s="2">
        <f t="shared" si="19"/>
        <v>87334000</v>
      </c>
      <c r="L130" s="2">
        <f t="shared" si="20"/>
        <v>13746400</v>
      </c>
      <c r="M130" s="2">
        <f t="shared" si="21"/>
        <v>15460600</v>
      </c>
      <c r="N130" s="2">
        <f t="shared" si="22"/>
        <v>2295700</v>
      </c>
      <c r="O130" s="2">
        <f t="shared" si="23"/>
        <v>5579230</v>
      </c>
      <c r="P130" s="2">
        <f t="shared" si="24"/>
        <v>4427684.0544790588</v>
      </c>
      <c r="Q130" s="3">
        <f t="shared" si="25"/>
        <v>517708254684.93152</v>
      </c>
      <c r="R130" s="3">
        <f t="shared" si="26"/>
        <v>20896513852054.793</v>
      </c>
      <c r="S130" s="3">
        <f t="shared" si="27"/>
        <v>517708254684.93152</v>
      </c>
      <c r="T130" s="3">
        <f t="shared" si="28"/>
        <v>654877129753.42468</v>
      </c>
      <c r="U130" s="3">
        <f t="shared" si="29"/>
        <v>14439009561.643835</v>
      </c>
      <c r="V130" s="3">
        <f t="shared" si="30"/>
        <v>85281664090.136993</v>
      </c>
      <c r="W130" s="3">
        <f t="shared" si="31"/>
        <v>53710646811.748268</v>
      </c>
      <c r="X130" s="3">
        <f t="shared" si="32"/>
        <v>19604386086288.117</v>
      </c>
      <c r="Y130" s="3">
        <f t="shared" si="33"/>
        <v>20484105603970.727</v>
      </c>
      <c r="AK130">
        <v>10.5083</v>
      </c>
      <c r="AL130">
        <v>1000000</v>
      </c>
      <c r="AM130">
        <f t="shared" si="34"/>
        <v>10508300</v>
      </c>
      <c r="AN130">
        <v>7.2247700000000004</v>
      </c>
      <c r="AO130">
        <v>1000000</v>
      </c>
      <c r="AP130">
        <f t="shared" si="35"/>
        <v>7224770</v>
      </c>
    </row>
    <row r="131" spans="1:42" x14ac:dyDescent="0.4">
      <c r="A131">
        <v>120</v>
      </c>
      <c r="B131" s="2">
        <v>27396400</v>
      </c>
      <c r="C131" s="2">
        <v>43370000</v>
      </c>
      <c r="D131" s="2">
        <f>IF(B131&lt;2500000,2500000,B131)</f>
        <v>27396400</v>
      </c>
      <c r="E131" s="2">
        <v>28507700</v>
      </c>
      <c r="F131" s="2">
        <v>8942710</v>
      </c>
      <c r="G131" s="2">
        <v>10619300</v>
      </c>
      <c r="H131" s="2">
        <v>10695213.735312071</v>
      </c>
      <c r="I131" s="2">
        <f>85.5*(100000)</f>
        <v>8550000</v>
      </c>
      <c r="J131" s="2">
        <f t="shared" si="18"/>
        <v>18846400</v>
      </c>
      <c r="K131" s="2">
        <f t="shared" si="19"/>
        <v>34820000</v>
      </c>
      <c r="L131" s="2">
        <f t="shared" si="20"/>
        <v>18846400</v>
      </c>
      <c r="M131" s="2">
        <f t="shared" si="21"/>
        <v>19957700</v>
      </c>
      <c r="N131" s="2">
        <f t="shared" si="22"/>
        <v>392710</v>
      </c>
      <c r="O131" s="2">
        <f t="shared" si="23"/>
        <v>2069300</v>
      </c>
      <c r="P131" s="2">
        <f t="shared" si="24"/>
        <v>2145213.7353120707</v>
      </c>
      <c r="Q131" s="3">
        <f t="shared" si="25"/>
        <v>973114501260.27393</v>
      </c>
      <c r="R131" s="3">
        <f t="shared" si="26"/>
        <v>3321732602739.7261</v>
      </c>
      <c r="S131" s="3">
        <f t="shared" si="27"/>
        <v>973114501260.27393</v>
      </c>
      <c r="T131" s="3">
        <f t="shared" si="28"/>
        <v>1091259696684.9315</v>
      </c>
      <c r="U131" s="3">
        <f t="shared" si="29"/>
        <v>422523682.46575344</v>
      </c>
      <c r="V131" s="3">
        <f t="shared" si="30"/>
        <v>11731513671.232876</v>
      </c>
      <c r="W131" s="3">
        <f t="shared" si="31"/>
        <v>12608060192.25087</v>
      </c>
      <c r="X131" s="3">
        <f t="shared" si="32"/>
        <v>4601941970171.5674</v>
      </c>
      <c r="Y131" s="3">
        <f t="shared" si="33"/>
        <v>73949724518.671478</v>
      </c>
      <c r="AK131">
        <v>8.9427099999999999</v>
      </c>
      <c r="AL131">
        <v>1000000</v>
      </c>
      <c r="AM131">
        <f t="shared" si="34"/>
        <v>8942710</v>
      </c>
      <c r="AN131">
        <v>10.619300000000001</v>
      </c>
      <c r="AO131">
        <v>1000000</v>
      </c>
      <c r="AP131">
        <f t="shared" si="35"/>
        <v>10619300</v>
      </c>
    </row>
    <row r="132" spans="1:42" x14ac:dyDescent="0.4">
      <c r="A132">
        <v>121</v>
      </c>
      <c r="B132" s="2">
        <v>25399500</v>
      </c>
      <c r="C132" s="2">
        <v>17510600</v>
      </c>
      <c r="D132" s="2">
        <f>IF(B132&lt;2500000,2500000,B132)</f>
        <v>25399500</v>
      </c>
      <c r="E132" s="2">
        <v>26052800</v>
      </c>
      <c r="F132" s="2">
        <v>7726090</v>
      </c>
      <c r="G132" s="2">
        <v>5299420</v>
      </c>
      <c r="H132" s="2">
        <v>10167333.411296509</v>
      </c>
      <c r="I132" s="2">
        <f>71.37*(100000)</f>
        <v>7137000</v>
      </c>
      <c r="J132" s="2">
        <f t="shared" si="18"/>
        <v>18262500</v>
      </c>
      <c r="K132" s="2">
        <f t="shared" si="19"/>
        <v>10373600</v>
      </c>
      <c r="L132" s="2">
        <f t="shared" si="20"/>
        <v>18262500</v>
      </c>
      <c r="M132" s="2">
        <f t="shared" si="21"/>
        <v>18915800</v>
      </c>
      <c r="N132" s="2">
        <f t="shared" si="22"/>
        <v>589090</v>
      </c>
      <c r="O132" s="2">
        <f t="shared" si="23"/>
        <v>1837580</v>
      </c>
      <c r="P132" s="2">
        <f t="shared" si="24"/>
        <v>3030333.4112965092</v>
      </c>
      <c r="Q132" s="3">
        <f t="shared" si="25"/>
        <v>913750428082.19177</v>
      </c>
      <c r="R132" s="3">
        <f t="shared" si="26"/>
        <v>294826238246.57532</v>
      </c>
      <c r="S132" s="3">
        <f t="shared" si="27"/>
        <v>913750428082.19177</v>
      </c>
      <c r="T132" s="3">
        <f t="shared" si="28"/>
        <v>980294492164.38354</v>
      </c>
      <c r="U132" s="3">
        <f t="shared" si="29"/>
        <v>950758981.0958904</v>
      </c>
      <c r="V132" s="3">
        <f t="shared" si="30"/>
        <v>9251233579.1780815</v>
      </c>
      <c r="W132" s="3">
        <f t="shared" si="31"/>
        <v>25158686530.465584</v>
      </c>
      <c r="X132" s="3">
        <f t="shared" si="32"/>
        <v>9182920583619.9375</v>
      </c>
      <c r="Y132" s="3">
        <f t="shared" si="33"/>
        <v>1302024801231</v>
      </c>
      <c r="AK132">
        <v>7.7260900000000001</v>
      </c>
      <c r="AL132">
        <v>1000000</v>
      </c>
      <c r="AM132">
        <f t="shared" si="34"/>
        <v>7726090</v>
      </c>
      <c r="AN132">
        <v>5.2994199999999996</v>
      </c>
      <c r="AO132">
        <v>1000000</v>
      </c>
      <c r="AP132">
        <f t="shared" si="35"/>
        <v>5299420</v>
      </c>
    </row>
    <row r="133" spans="1:42" x14ac:dyDescent="0.4">
      <c r="A133">
        <v>122</v>
      </c>
      <c r="B133" s="2">
        <v>21661200</v>
      </c>
      <c r="C133" s="2">
        <v>7188120</v>
      </c>
      <c r="D133" s="2">
        <f>IF(B133&lt;2500000,2500000,B133)</f>
        <v>21661200</v>
      </c>
      <c r="E133" s="2">
        <v>21970900</v>
      </c>
      <c r="F133" s="2">
        <v>6640890</v>
      </c>
      <c r="G133" s="2">
        <v>9091340</v>
      </c>
      <c r="H133" s="2">
        <v>9221157.4586889073</v>
      </c>
      <c r="I133" s="2">
        <f>63.83*(100000)</f>
        <v>6383000</v>
      </c>
      <c r="J133" s="2">
        <f t="shared" si="18"/>
        <v>15278200</v>
      </c>
      <c r="K133" s="2">
        <f t="shared" si="19"/>
        <v>805120</v>
      </c>
      <c r="L133" s="2">
        <f t="shared" si="20"/>
        <v>15278200</v>
      </c>
      <c r="M133" s="2">
        <f t="shared" si="21"/>
        <v>15587900</v>
      </c>
      <c r="N133" s="2">
        <f t="shared" si="22"/>
        <v>257890</v>
      </c>
      <c r="O133" s="2">
        <f t="shared" si="23"/>
        <v>2708340</v>
      </c>
      <c r="P133" s="2">
        <f t="shared" si="24"/>
        <v>2838157.4586889073</v>
      </c>
      <c r="Q133" s="3">
        <f t="shared" si="25"/>
        <v>639516151342.4657</v>
      </c>
      <c r="R133" s="3">
        <f t="shared" si="26"/>
        <v>1775940313.4246576</v>
      </c>
      <c r="S133" s="3">
        <f t="shared" si="27"/>
        <v>639516151342.4657</v>
      </c>
      <c r="T133" s="3">
        <f t="shared" si="28"/>
        <v>665705825780.8219</v>
      </c>
      <c r="U133" s="3">
        <f t="shared" si="29"/>
        <v>182211649.58904108</v>
      </c>
      <c r="V133" s="3">
        <f t="shared" si="30"/>
        <v>20096179604.38356</v>
      </c>
      <c r="W133" s="3">
        <f t="shared" si="31"/>
        <v>22068870576.195827</v>
      </c>
      <c r="X133" s="3">
        <f t="shared" si="32"/>
        <v>8055137760311.4766</v>
      </c>
      <c r="Y133" s="3">
        <f t="shared" si="33"/>
        <v>3591263825888.5342</v>
      </c>
      <c r="AK133">
        <v>6.6408899999999997</v>
      </c>
      <c r="AL133">
        <v>1000000</v>
      </c>
      <c r="AM133">
        <f t="shared" si="34"/>
        <v>6640890</v>
      </c>
      <c r="AN133">
        <v>9.0913400000000006</v>
      </c>
      <c r="AO133">
        <v>1000000</v>
      </c>
      <c r="AP133">
        <f t="shared" si="35"/>
        <v>9091340</v>
      </c>
    </row>
    <row r="134" spans="1:42" x14ac:dyDescent="0.4">
      <c r="A134">
        <v>123</v>
      </c>
      <c r="B134" s="2">
        <v>17947800</v>
      </c>
      <c r="C134" s="2">
        <v>3190290</v>
      </c>
      <c r="D134" s="2">
        <f>IF(B134&lt;2500000,2500000,B134)</f>
        <v>17947800</v>
      </c>
      <c r="E134" s="2">
        <v>18004000</v>
      </c>
      <c r="F134" s="2">
        <v>5753360</v>
      </c>
      <c r="G134" s="2">
        <v>3987270</v>
      </c>
      <c r="H134" s="2">
        <v>8286143.4853625782</v>
      </c>
      <c r="I134" s="2">
        <f>61.43*(100000)</f>
        <v>6143000</v>
      </c>
      <c r="J134" s="2">
        <f t="shared" si="18"/>
        <v>11804800</v>
      </c>
      <c r="K134" s="2">
        <f t="shared" si="19"/>
        <v>2952710</v>
      </c>
      <c r="L134" s="2">
        <f t="shared" si="20"/>
        <v>11804800</v>
      </c>
      <c r="M134" s="2">
        <f t="shared" si="21"/>
        <v>11861000</v>
      </c>
      <c r="N134" s="2">
        <f t="shared" si="22"/>
        <v>389640</v>
      </c>
      <c r="O134" s="2">
        <f t="shared" si="23"/>
        <v>2155730</v>
      </c>
      <c r="P134" s="2">
        <f t="shared" si="24"/>
        <v>2143143.4853625782</v>
      </c>
      <c r="Q134" s="3">
        <f t="shared" si="25"/>
        <v>381789871342.46576</v>
      </c>
      <c r="R134" s="3">
        <f t="shared" si="26"/>
        <v>23886291353.698631</v>
      </c>
      <c r="S134" s="3">
        <f t="shared" si="27"/>
        <v>381789871342.46576</v>
      </c>
      <c r="T134" s="3">
        <f t="shared" si="28"/>
        <v>385433756164.38354</v>
      </c>
      <c r="U134" s="3">
        <f t="shared" si="29"/>
        <v>415943368.76712328</v>
      </c>
      <c r="V134" s="3">
        <f t="shared" si="30"/>
        <v>12731977624.383562</v>
      </c>
      <c r="W134" s="3">
        <f t="shared" si="31"/>
        <v>12583736983.156328</v>
      </c>
      <c r="X134" s="3">
        <f t="shared" si="32"/>
        <v>4593063998852.0596</v>
      </c>
      <c r="Y134" s="3">
        <f t="shared" si="33"/>
        <v>4558494072463.876</v>
      </c>
      <c r="AK134">
        <v>5.7533599999999998</v>
      </c>
      <c r="AL134">
        <v>1000000</v>
      </c>
      <c r="AM134">
        <f t="shared" si="34"/>
        <v>5753360</v>
      </c>
      <c r="AN134">
        <v>3.9872700000000001</v>
      </c>
      <c r="AO134">
        <v>1000000</v>
      </c>
      <c r="AP134">
        <f t="shared" si="35"/>
        <v>3987270</v>
      </c>
    </row>
    <row r="135" spans="1:42" x14ac:dyDescent="0.4">
      <c r="A135">
        <v>124</v>
      </c>
      <c r="B135" s="2">
        <v>16402000.000000002</v>
      </c>
      <c r="C135" s="2">
        <v>9668300</v>
      </c>
      <c r="D135" s="2">
        <f>IF(B135&lt;2500000,2500000,B135)</f>
        <v>16402000.000000002</v>
      </c>
      <c r="E135" s="2">
        <v>16415299.999999998</v>
      </c>
      <c r="F135" s="2">
        <v>5638220</v>
      </c>
      <c r="G135" s="2">
        <v>3939780</v>
      </c>
      <c r="H135" s="2">
        <v>8295738.2803682601</v>
      </c>
      <c r="I135" s="2">
        <f>60.65*(100000)</f>
        <v>6065000</v>
      </c>
      <c r="J135" s="2">
        <f t="shared" si="18"/>
        <v>10337000.000000002</v>
      </c>
      <c r="K135" s="2">
        <f t="shared" si="19"/>
        <v>3603300</v>
      </c>
      <c r="L135" s="2">
        <f t="shared" si="20"/>
        <v>10337000.000000002</v>
      </c>
      <c r="M135" s="2">
        <f t="shared" si="21"/>
        <v>10350299.999999998</v>
      </c>
      <c r="N135" s="2">
        <f t="shared" si="22"/>
        <v>426780</v>
      </c>
      <c r="O135" s="2">
        <f t="shared" si="23"/>
        <v>2125220</v>
      </c>
      <c r="P135" s="2">
        <f t="shared" si="24"/>
        <v>2230738.2803682601</v>
      </c>
      <c r="Q135" s="3">
        <f t="shared" si="25"/>
        <v>292749504109.58911</v>
      </c>
      <c r="R135" s="3">
        <f t="shared" si="26"/>
        <v>35571975041.095894</v>
      </c>
      <c r="S135" s="3">
        <f t="shared" si="27"/>
        <v>292749504109.58911</v>
      </c>
      <c r="T135" s="3">
        <f t="shared" si="28"/>
        <v>293503315315.06842</v>
      </c>
      <c r="U135" s="3">
        <f t="shared" si="29"/>
        <v>499016899.72602737</v>
      </c>
      <c r="V135" s="3">
        <f t="shared" si="30"/>
        <v>12374137118.90411</v>
      </c>
      <c r="W135" s="3">
        <f t="shared" si="31"/>
        <v>13633406234.247511</v>
      </c>
      <c r="X135" s="3">
        <f t="shared" si="32"/>
        <v>4976193275500.3418</v>
      </c>
      <c r="Y135" s="3">
        <f t="shared" si="33"/>
        <v>4897647902600.8623</v>
      </c>
      <c r="AK135">
        <v>5.6382199999999996</v>
      </c>
      <c r="AL135">
        <v>1000000</v>
      </c>
      <c r="AM135">
        <f t="shared" si="34"/>
        <v>5638220</v>
      </c>
      <c r="AN135">
        <v>3.9397799999999998</v>
      </c>
      <c r="AO135">
        <v>1000000</v>
      </c>
      <c r="AP135">
        <f t="shared" si="35"/>
        <v>3939780</v>
      </c>
    </row>
    <row r="136" spans="1:42" x14ac:dyDescent="0.4">
      <c r="A136">
        <v>125</v>
      </c>
      <c r="B136" s="2">
        <v>13499600</v>
      </c>
      <c r="C136" s="2">
        <v>3176690</v>
      </c>
      <c r="D136" s="2">
        <f>IF(B136&lt;2500000,2500000,B136)</f>
        <v>13499600</v>
      </c>
      <c r="E136" s="2">
        <v>13341400</v>
      </c>
      <c r="F136" s="2">
        <v>4903230</v>
      </c>
      <c r="G136" s="2">
        <v>8082660.0000000009</v>
      </c>
      <c r="H136" s="2">
        <v>7193950.0237887334</v>
      </c>
      <c r="I136" s="2">
        <f>102.74*(100000)</f>
        <v>10274000</v>
      </c>
      <c r="J136" s="2">
        <f t="shared" si="18"/>
        <v>3225600</v>
      </c>
      <c r="K136" s="2">
        <f t="shared" si="19"/>
        <v>7097310</v>
      </c>
      <c r="L136" s="2">
        <f t="shared" si="20"/>
        <v>3225600</v>
      </c>
      <c r="M136" s="2">
        <f t="shared" si="21"/>
        <v>3067400</v>
      </c>
      <c r="N136" s="2">
        <f t="shared" si="22"/>
        <v>5370770</v>
      </c>
      <c r="O136" s="2">
        <f t="shared" si="23"/>
        <v>2191339.9999999991</v>
      </c>
      <c r="P136" s="2">
        <f t="shared" si="24"/>
        <v>3080049.9762112666</v>
      </c>
      <c r="Q136" s="3">
        <f t="shared" si="25"/>
        <v>28505466739.726028</v>
      </c>
      <c r="R136" s="3">
        <f t="shared" si="26"/>
        <v>138004956811.23288</v>
      </c>
      <c r="S136" s="3">
        <f t="shared" si="27"/>
        <v>28505466739.726028</v>
      </c>
      <c r="T136" s="3">
        <f t="shared" si="28"/>
        <v>25777925369.863014</v>
      </c>
      <c r="U136" s="3">
        <f t="shared" si="29"/>
        <v>79027864090.136993</v>
      </c>
      <c r="V136" s="3">
        <f t="shared" si="30"/>
        <v>13156084919.452044</v>
      </c>
      <c r="W136" s="3">
        <f t="shared" si="31"/>
        <v>25990980427.284996</v>
      </c>
      <c r="X136" s="3">
        <f t="shared" si="32"/>
        <v>9486707855959.0234</v>
      </c>
      <c r="Y136" s="3">
        <f t="shared" si="33"/>
        <v>3983764453285.7949</v>
      </c>
      <c r="AK136">
        <v>4.9032299999999998</v>
      </c>
      <c r="AL136">
        <v>1000000</v>
      </c>
      <c r="AM136">
        <f t="shared" si="34"/>
        <v>4903230</v>
      </c>
      <c r="AN136">
        <v>8.0826600000000006</v>
      </c>
      <c r="AO136">
        <v>1000000</v>
      </c>
      <c r="AP136">
        <f t="shared" si="35"/>
        <v>8082660.0000000009</v>
      </c>
    </row>
    <row r="137" spans="1:42" x14ac:dyDescent="0.4">
      <c r="A137">
        <v>126</v>
      </c>
      <c r="B137" s="2">
        <v>28205100</v>
      </c>
      <c r="C137" s="2">
        <v>104889000</v>
      </c>
      <c r="D137" s="2">
        <f>IF(B137&lt;2500000,2500000,B137)</f>
        <v>28205100</v>
      </c>
      <c r="E137" s="2">
        <v>29861700</v>
      </c>
      <c r="F137" s="2">
        <v>11877400</v>
      </c>
      <c r="G137" s="2">
        <v>8183690</v>
      </c>
      <c r="H137" s="2">
        <v>59737659.639254667</v>
      </c>
      <c r="I137" s="2">
        <f>855.1*(100000)</f>
        <v>85510000</v>
      </c>
      <c r="J137" s="2">
        <f t="shared" si="18"/>
        <v>57304900</v>
      </c>
      <c r="K137" s="2">
        <f t="shared" si="19"/>
        <v>19379000</v>
      </c>
      <c r="L137" s="2">
        <f t="shared" si="20"/>
        <v>57304900</v>
      </c>
      <c r="M137" s="2">
        <f t="shared" si="21"/>
        <v>55648300</v>
      </c>
      <c r="N137" s="2">
        <f t="shared" si="22"/>
        <v>73632600</v>
      </c>
      <c r="O137" s="2">
        <f t="shared" si="23"/>
        <v>77326310</v>
      </c>
      <c r="P137" s="2">
        <f t="shared" si="24"/>
        <v>25772340.360745333</v>
      </c>
      <c r="Q137" s="3">
        <f t="shared" si="25"/>
        <v>8996853600027.3965</v>
      </c>
      <c r="R137" s="3">
        <f t="shared" si="26"/>
        <v>1028892167123.2877</v>
      </c>
      <c r="S137" s="3">
        <f t="shared" si="27"/>
        <v>8996853600027.3965</v>
      </c>
      <c r="T137" s="3">
        <f t="shared" si="28"/>
        <v>8484200802438.3564</v>
      </c>
      <c r="U137" s="3">
        <f t="shared" si="29"/>
        <v>14854136391123.287</v>
      </c>
      <c r="V137" s="3">
        <f t="shared" si="30"/>
        <v>16381803337578.355</v>
      </c>
      <c r="W137" s="3">
        <f t="shared" si="31"/>
        <v>1819763089507.1311</v>
      </c>
      <c r="X137" s="3">
        <f t="shared" si="32"/>
        <v>664213527670102.88</v>
      </c>
      <c r="Y137" s="3">
        <f t="shared" si="33"/>
        <v>5964772090656024</v>
      </c>
      <c r="AK137">
        <v>11.8774</v>
      </c>
      <c r="AL137">
        <v>1000000</v>
      </c>
      <c r="AM137">
        <f t="shared" si="34"/>
        <v>11877400</v>
      </c>
      <c r="AN137">
        <v>8.1836900000000004</v>
      </c>
      <c r="AO137">
        <v>1000000</v>
      </c>
      <c r="AP137">
        <f t="shared" si="35"/>
        <v>8183690</v>
      </c>
    </row>
    <row r="138" spans="1:42" x14ac:dyDescent="0.4">
      <c r="A138">
        <v>127</v>
      </c>
      <c r="B138" s="2">
        <v>47570000</v>
      </c>
      <c r="C138" s="2">
        <v>140140000</v>
      </c>
      <c r="D138" s="2">
        <f>IF(B138&lt;2500000,2500000,B138)</f>
        <v>47570000</v>
      </c>
      <c r="E138" s="2">
        <v>49992200</v>
      </c>
      <c r="F138" s="2">
        <v>16735000</v>
      </c>
      <c r="G138" s="2">
        <v>16030899.999999998</v>
      </c>
      <c r="H138" s="2">
        <v>79785536.820232391</v>
      </c>
      <c r="I138" s="2">
        <f>464.01*(100000)</f>
        <v>46401000</v>
      </c>
      <c r="J138" s="2">
        <f t="shared" si="18"/>
        <v>1169000</v>
      </c>
      <c r="K138" s="2">
        <f t="shared" si="19"/>
        <v>93739000</v>
      </c>
      <c r="L138" s="2">
        <f t="shared" si="20"/>
        <v>1169000</v>
      </c>
      <c r="M138" s="2">
        <f t="shared" si="21"/>
        <v>3591200</v>
      </c>
      <c r="N138" s="2">
        <f t="shared" si="22"/>
        <v>29666000</v>
      </c>
      <c r="O138" s="2">
        <f t="shared" si="23"/>
        <v>30370100</v>
      </c>
      <c r="P138" s="2">
        <f t="shared" si="24"/>
        <v>33384536.820232391</v>
      </c>
      <c r="Q138" s="3">
        <f t="shared" si="25"/>
        <v>3744002739.7260275</v>
      </c>
      <c r="R138" s="3">
        <f t="shared" si="26"/>
        <v>24073972934246.574</v>
      </c>
      <c r="S138" s="3">
        <f t="shared" si="27"/>
        <v>3744002739.7260275</v>
      </c>
      <c r="T138" s="3">
        <f t="shared" si="28"/>
        <v>35333472438.356163</v>
      </c>
      <c r="U138" s="3">
        <f t="shared" si="29"/>
        <v>2411154947945.2056</v>
      </c>
      <c r="V138" s="3">
        <f t="shared" si="30"/>
        <v>2526967052082.1919</v>
      </c>
      <c r="W138" s="3">
        <f t="shared" si="31"/>
        <v>3053499448497.1294</v>
      </c>
      <c r="X138" s="3">
        <f t="shared" si="32"/>
        <v>1114527298701452.3</v>
      </c>
      <c r="Y138" s="3">
        <f t="shared" si="33"/>
        <v>1453358324461505</v>
      </c>
      <c r="AK138">
        <v>16.734999999999999</v>
      </c>
      <c r="AL138">
        <v>1000000</v>
      </c>
      <c r="AM138">
        <f t="shared" si="34"/>
        <v>16735000</v>
      </c>
      <c r="AN138">
        <v>16.030899999999999</v>
      </c>
      <c r="AO138">
        <v>1000000</v>
      </c>
      <c r="AP138">
        <f t="shared" si="35"/>
        <v>16030899.999999998</v>
      </c>
    </row>
    <row r="139" spans="1:42" x14ac:dyDescent="0.4">
      <c r="A139">
        <v>128</v>
      </c>
      <c r="B139" s="2">
        <v>43588300</v>
      </c>
      <c r="C139" s="2">
        <v>58782200</v>
      </c>
      <c r="D139" s="2">
        <f>IF(B139&lt;2500000,2500000,B139)</f>
        <v>43588300</v>
      </c>
      <c r="E139" s="2">
        <v>45088800</v>
      </c>
      <c r="F139" s="2">
        <v>14315300</v>
      </c>
      <c r="G139" s="2">
        <v>14328600</v>
      </c>
      <c r="H139" s="2">
        <v>18741835.88503943</v>
      </c>
      <c r="I139" s="2">
        <f>181.57*(100000)</f>
        <v>18157000</v>
      </c>
      <c r="J139" s="2">
        <f t="shared" si="18"/>
        <v>25431300</v>
      </c>
      <c r="K139" s="2">
        <f t="shared" si="19"/>
        <v>40625200</v>
      </c>
      <c r="L139" s="2">
        <f t="shared" si="20"/>
        <v>25431300</v>
      </c>
      <c r="M139" s="2">
        <f t="shared" si="21"/>
        <v>26931800</v>
      </c>
      <c r="N139" s="2">
        <f t="shared" si="22"/>
        <v>3841700</v>
      </c>
      <c r="O139" s="2">
        <f t="shared" si="23"/>
        <v>3828400</v>
      </c>
      <c r="P139" s="2">
        <f t="shared" si="24"/>
        <v>584835.88503943011</v>
      </c>
      <c r="Q139" s="3">
        <f t="shared" si="25"/>
        <v>1771920601890.4109</v>
      </c>
      <c r="R139" s="3">
        <f t="shared" si="26"/>
        <v>4521662671342.4658</v>
      </c>
      <c r="S139" s="3">
        <f t="shared" si="27"/>
        <v>1771920601890.4109</v>
      </c>
      <c r="T139" s="3">
        <f t="shared" si="28"/>
        <v>1987183154082.1919</v>
      </c>
      <c r="U139" s="3">
        <f t="shared" si="29"/>
        <v>40434681890.410957</v>
      </c>
      <c r="V139" s="3">
        <f t="shared" si="30"/>
        <v>40155196054.794518</v>
      </c>
      <c r="W139" s="3">
        <f t="shared" si="31"/>
        <v>937076746.38316035</v>
      </c>
      <c r="X139" s="3">
        <f t="shared" si="32"/>
        <v>342033012429.85352</v>
      </c>
      <c r="Y139" s="3">
        <f t="shared" si="33"/>
        <v>97593395979313.188</v>
      </c>
      <c r="AK139">
        <v>14.315300000000001</v>
      </c>
      <c r="AL139">
        <v>1000000</v>
      </c>
      <c r="AM139">
        <f t="shared" si="34"/>
        <v>14315300</v>
      </c>
      <c r="AN139">
        <v>14.3286</v>
      </c>
      <c r="AO139">
        <v>1000000</v>
      </c>
      <c r="AP139">
        <f t="shared" si="35"/>
        <v>14328600</v>
      </c>
    </row>
    <row r="140" spans="1:42" x14ac:dyDescent="0.4">
      <c r="A140">
        <v>129</v>
      </c>
      <c r="B140" s="2">
        <v>39510600</v>
      </c>
      <c r="C140" s="2">
        <v>24297800</v>
      </c>
      <c r="D140" s="2">
        <f>IF(B140&lt;2500000,2500000,B140)</f>
        <v>39510600</v>
      </c>
      <c r="E140" s="2">
        <v>40315100</v>
      </c>
      <c r="F140" s="2">
        <v>12357300</v>
      </c>
      <c r="G140" s="2">
        <v>12953500</v>
      </c>
      <c r="H140" s="2">
        <v>13325995.21141823</v>
      </c>
      <c r="I140" s="2">
        <f>110.68*(100000)</f>
        <v>11068000</v>
      </c>
      <c r="J140" s="2">
        <f t="shared" ref="J140:J203" si="36">ABS(I140-B140)</f>
        <v>28442600</v>
      </c>
      <c r="K140" s="2">
        <f t="shared" ref="K140:K203" si="37">ABS(I140-C140)</f>
        <v>13229800</v>
      </c>
      <c r="L140" s="2">
        <f t="shared" ref="L140:L203" si="38">ABS(I140-D140)</f>
        <v>28442600</v>
      </c>
      <c r="M140" s="2">
        <f t="shared" ref="M140:M203" si="39">ABS($I140-E140)</f>
        <v>29247100</v>
      </c>
      <c r="N140" s="2">
        <f t="shared" ref="N140:N203" si="40">ABS($I140-F140)</f>
        <v>1289300</v>
      </c>
      <c r="O140" s="2">
        <f t="shared" ref="O140:O203" si="41">ABS($I140-G140)</f>
        <v>1885500</v>
      </c>
      <c r="P140" s="2">
        <f t="shared" ref="P140:P203" si="42">ABS(I140-H140)</f>
        <v>2257995.2114182301</v>
      </c>
      <c r="Q140" s="3">
        <f t="shared" ref="Q140:Q203" si="43">J140^2/COUNT($A$11:$A$375)</f>
        <v>2216387656876.7124</v>
      </c>
      <c r="R140" s="3">
        <f t="shared" ref="R140:R203" si="44">K140^2/COUNT($A$11:$A$375)</f>
        <v>479527693260.27399</v>
      </c>
      <c r="S140" s="3">
        <f t="shared" ref="S140:S203" si="45">L140^2/COUNT($A$11:$A$375)</f>
        <v>2216387656876.7124</v>
      </c>
      <c r="T140" s="3">
        <f t="shared" ref="T140:T203" si="46">M140^2/COUNT($A$11:$A$375)</f>
        <v>2343542077835.6162</v>
      </c>
      <c r="U140" s="3">
        <f t="shared" ref="U140:U203" si="47">N140^2/COUNT($A$11:$A$375)</f>
        <v>4554231479.452055</v>
      </c>
      <c r="V140" s="3">
        <f t="shared" ref="V140:V203" si="48">O140^2/COUNT($A$11:$A$375)</f>
        <v>9740028082.1917801</v>
      </c>
      <c r="W140" s="3">
        <f t="shared" ref="W140:W203" si="49">P140^2/COUNT($A$11:$A$375)</f>
        <v>13968609245.993582</v>
      </c>
      <c r="X140" s="3">
        <f t="shared" ref="X140:X203" si="50">P140^2</f>
        <v>5098542374787.6572</v>
      </c>
      <c r="Y140" s="3">
        <f t="shared" ref="Y140:Y203" si="51">(I140-AVERAGE($I$11:$I$375))^2</f>
        <v>7783748387532.3711</v>
      </c>
      <c r="AK140">
        <v>12.3573</v>
      </c>
      <c r="AL140">
        <v>1000000</v>
      </c>
      <c r="AM140">
        <f t="shared" ref="AM140:AM203" si="52">IF(AL140="",AK140,AK140*AL140)</f>
        <v>12357300</v>
      </c>
      <c r="AN140">
        <v>12.9535</v>
      </c>
      <c r="AO140">
        <v>1000000</v>
      </c>
      <c r="AP140">
        <f t="shared" ref="AP140:AP203" si="53">IF(AO140="",AN140,AN140*AO140)</f>
        <v>12953500</v>
      </c>
    </row>
    <row r="141" spans="1:42" x14ac:dyDescent="0.4">
      <c r="A141">
        <v>130</v>
      </c>
      <c r="B141" s="2">
        <v>33576800</v>
      </c>
      <c r="C141" s="2">
        <v>9982860</v>
      </c>
      <c r="D141" s="2">
        <f>IF(B141&lt;2500000,2500000,B141)</f>
        <v>33576800</v>
      </c>
      <c r="E141" s="2">
        <v>33863300</v>
      </c>
      <c r="F141" s="2">
        <v>10648600</v>
      </c>
      <c r="G141" s="2">
        <v>7293530</v>
      </c>
      <c r="H141" s="2">
        <v>11922338.43350826</v>
      </c>
      <c r="I141" s="2">
        <f>91.77*(100000)</f>
        <v>9177000</v>
      </c>
      <c r="J141" s="2">
        <f t="shared" si="36"/>
        <v>24399800</v>
      </c>
      <c r="K141" s="2">
        <f t="shared" si="37"/>
        <v>805860</v>
      </c>
      <c r="L141" s="2">
        <f t="shared" si="38"/>
        <v>24399800</v>
      </c>
      <c r="M141" s="2">
        <f t="shared" si="39"/>
        <v>24686300</v>
      </c>
      <c r="N141" s="2">
        <f t="shared" si="40"/>
        <v>1471600</v>
      </c>
      <c r="O141" s="2">
        <f t="shared" si="41"/>
        <v>1883470</v>
      </c>
      <c r="P141" s="2">
        <f t="shared" si="42"/>
        <v>2745338.4335082602</v>
      </c>
      <c r="Q141" s="3">
        <f t="shared" si="43"/>
        <v>1631096548054.7944</v>
      </c>
      <c r="R141" s="3">
        <f t="shared" si="44"/>
        <v>1779206409.8630137</v>
      </c>
      <c r="S141" s="3">
        <f t="shared" si="45"/>
        <v>1631096548054.7944</v>
      </c>
      <c r="T141" s="3">
        <f t="shared" si="46"/>
        <v>1669625774493.1506</v>
      </c>
      <c r="U141" s="3">
        <f t="shared" si="47"/>
        <v>5933168657.5342464</v>
      </c>
      <c r="V141" s="3">
        <f t="shared" si="48"/>
        <v>9719066413.4246578</v>
      </c>
      <c r="W141" s="3">
        <f t="shared" si="49"/>
        <v>20648994834.239967</v>
      </c>
      <c r="X141" s="3">
        <f t="shared" si="50"/>
        <v>7536883114497.5879</v>
      </c>
      <c r="Y141" s="3">
        <f t="shared" si="51"/>
        <v>808087705340.58936</v>
      </c>
      <c r="AK141">
        <v>10.6486</v>
      </c>
      <c r="AL141">
        <v>1000000</v>
      </c>
      <c r="AM141">
        <f t="shared" si="52"/>
        <v>10648600</v>
      </c>
      <c r="AN141">
        <v>7.2935299999999996</v>
      </c>
      <c r="AO141">
        <v>1000000</v>
      </c>
      <c r="AP141">
        <f t="shared" si="53"/>
        <v>7293530</v>
      </c>
    </row>
    <row r="142" spans="1:42" x14ac:dyDescent="0.4">
      <c r="A142">
        <v>131</v>
      </c>
      <c r="B142" s="2">
        <v>27939200</v>
      </c>
      <c r="C142" s="2">
        <v>8887530</v>
      </c>
      <c r="D142" s="2">
        <f>IF(B142&lt;2500000,2500000,B142)</f>
        <v>27939200</v>
      </c>
      <c r="E142" s="2">
        <v>27846300</v>
      </c>
      <c r="F142" s="2">
        <v>9220410</v>
      </c>
      <c r="G142" s="2">
        <v>11092200</v>
      </c>
      <c r="H142" s="2">
        <v>10542470.051286221</v>
      </c>
      <c r="I142" s="2">
        <f>78.47*(100000)</f>
        <v>7847000</v>
      </c>
      <c r="J142" s="2">
        <f t="shared" si="36"/>
        <v>20092200</v>
      </c>
      <c r="K142" s="2">
        <f t="shared" si="37"/>
        <v>1040530</v>
      </c>
      <c r="L142" s="2">
        <f t="shared" si="38"/>
        <v>20092200</v>
      </c>
      <c r="M142" s="2">
        <f t="shared" si="39"/>
        <v>19999300</v>
      </c>
      <c r="N142" s="2">
        <f t="shared" si="40"/>
        <v>1373410</v>
      </c>
      <c r="O142" s="2">
        <f t="shared" si="41"/>
        <v>3245200</v>
      </c>
      <c r="P142" s="2">
        <f t="shared" si="42"/>
        <v>2695470.0512862206</v>
      </c>
      <c r="Q142" s="3">
        <f t="shared" si="43"/>
        <v>1106017810520.5479</v>
      </c>
      <c r="R142" s="3">
        <f t="shared" si="44"/>
        <v>2966308714.7945204</v>
      </c>
      <c r="S142" s="3">
        <f t="shared" si="45"/>
        <v>1106017810520.5479</v>
      </c>
      <c r="T142" s="3">
        <f t="shared" si="46"/>
        <v>1095813699972.6028</v>
      </c>
      <c r="U142" s="3">
        <f t="shared" si="47"/>
        <v>5167821994.7945204</v>
      </c>
      <c r="V142" s="3">
        <f t="shared" si="48"/>
        <v>28852939835.61644</v>
      </c>
      <c r="W142" s="3">
        <f t="shared" si="49"/>
        <v>19905640540.769699</v>
      </c>
      <c r="X142" s="3">
        <f t="shared" si="50"/>
        <v>7265558797380.9404</v>
      </c>
      <c r="Y142" s="3">
        <f t="shared" si="51"/>
        <v>185815321778.94531</v>
      </c>
      <c r="AK142">
        <v>9.2204099999999993</v>
      </c>
      <c r="AL142">
        <v>1000000</v>
      </c>
      <c r="AM142">
        <f t="shared" si="52"/>
        <v>9220410</v>
      </c>
      <c r="AN142">
        <v>11.0922</v>
      </c>
      <c r="AO142">
        <v>1000000</v>
      </c>
      <c r="AP142">
        <f t="shared" si="53"/>
        <v>11092200</v>
      </c>
    </row>
    <row r="143" spans="1:42" x14ac:dyDescent="0.4">
      <c r="A143">
        <v>132</v>
      </c>
      <c r="B143" s="2">
        <v>23080700</v>
      </c>
      <c r="C143" s="2">
        <v>2038339.9999999998</v>
      </c>
      <c r="D143" s="2">
        <f>IF(B143&lt;2500000,2500000,B143)</f>
        <v>23080700</v>
      </c>
      <c r="E143" s="2">
        <v>22716300</v>
      </c>
      <c r="F143" s="2">
        <v>8069879.9999999991</v>
      </c>
      <c r="G143" s="2">
        <v>10180300</v>
      </c>
      <c r="H143" s="2">
        <v>9258416.9413610101</v>
      </c>
      <c r="I143" s="2">
        <f>72.94*(100000)</f>
        <v>7294000</v>
      </c>
      <c r="J143" s="2">
        <f t="shared" si="36"/>
        <v>15786700</v>
      </c>
      <c r="K143" s="2">
        <f t="shared" si="37"/>
        <v>5255660</v>
      </c>
      <c r="L143" s="2">
        <f t="shared" si="38"/>
        <v>15786700</v>
      </c>
      <c r="M143" s="2">
        <f t="shared" si="39"/>
        <v>15422300</v>
      </c>
      <c r="N143" s="2">
        <f t="shared" si="40"/>
        <v>775879.99999999907</v>
      </c>
      <c r="O143" s="2">
        <f t="shared" si="41"/>
        <v>2886300</v>
      </c>
      <c r="P143" s="2">
        <f t="shared" si="42"/>
        <v>1964416.9413610101</v>
      </c>
      <c r="Q143" s="3">
        <f t="shared" si="43"/>
        <v>682794238054.79456</v>
      </c>
      <c r="R143" s="3">
        <f t="shared" si="44"/>
        <v>75676608316.712326</v>
      </c>
      <c r="S143" s="3">
        <f t="shared" si="45"/>
        <v>682794238054.79456</v>
      </c>
      <c r="T143" s="3">
        <f t="shared" si="46"/>
        <v>651636540520.54797</v>
      </c>
      <c r="U143" s="3">
        <f t="shared" si="47"/>
        <v>1649287053.150681</v>
      </c>
      <c r="V143" s="3">
        <f t="shared" si="48"/>
        <v>22823911479.452053</v>
      </c>
      <c r="W143" s="3">
        <f t="shared" si="49"/>
        <v>10572421697.277113</v>
      </c>
      <c r="X143" s="3">
        <f t="shared" si="50"/>
        <v>3858933919506.146</v>
      </c>
      <c r="Y143" s="3">
        <f t="shared" si="51"/>
        <v>968380014929.63013</v>
      </c>
      <c r="AK143">
        <v>8.0698799999999995</v>
      </c>
      <c r="AL143">
        <v>1000000</v>
      </c>
      <c r="AM143">
        <f t="shared" si="52"/>
        <v>8069879.9999999991</v>
      </c>
      <c r="AN143">
        <v>10.180300000000001</v>
      </c>
      <c r="AO143">
        <v>1000000</v>
      </c>
      <c r="AP143">
        <f t="shared" si="53"/>
        <v>10180300</v>
      </c>
    </row>
    <row r="144" spans="1:42" x14ac:dyDescent="0.4">
      <c r="A144">
        <v>133</v>
      </c>
      <c r="B144" s="2">
        <v>24411000</v>
      </c>
      <c r="C144" s="2">
        <v>27025100</v>
      </c>
      <c r="D144" s="2">
        <f>IF(B144&lt;2500000,2500000,B144)</f>
        <v>24411000</v>
      </c>
      <c r="E144" s="2">
        <v>24305300</v>
      </c>
      <c r="F144" s="2">
        <v>9012900</v>
      </c>
      <c r="G144" s="2">
        <v>6322550</v>
      </c>
      <c r="H144" s="2">
        <v>10938343.702801101</v>
      </c>
      <c r="I144" s="2">
        <f>73.85*(100000)</f>
        <v>7384999.9999999991</v>
      </c>
      <c r="J144" s="2">
        <f t="shared" si="36"/>
        <v>17026000</v>
      </c>
      <c r="K144" s="2">
        <f t="shared" si="37"/>
        <v>19640100</v>
      </c>
      <c r="L144" s="2">
        <f t="shared" si="38"/>
        <v>17026000</v>
      </c>
      <c r="M144" s="2">
        <f t="shared" si="39"/>
        <v>16920300</v>
      </c>
      <c r="N144" s="2">
        <f t="shared" si="40"/>
        <v>1627900.0000000009</v>
      </c>
      <c r="O144" s="2">
        <f t="shared" si="41"/>
        <v>1062449.9999999991</v>
      </c>
      <c r="P144" s="2">
        <f t="shared" si="42"/>
        <v>3553343.7028011018</v>
      </c>
      <c r="Q144" s="3">
        <f t="shared" si="43"/>
        <v>794204591780.8219</v>
      </c>
      <c r="R144" s="3">
        <f t="shared" si="44"/>
        <v>1056804186328.7671</v>
      </c>
      <c r="S144" s="3">
        <f t="shared" si="45"/>
        <v>794204591780.8219</v>
      </c>
      <c r="T144" s="3">
        <f t="shared" si="46"/>
        <v>784374115315.06848</v>
      </c>
      <c r="U144" s="3">
        <f t="shared" si="47"/>
        <v>7260434000.0000076</v>
      </c>
      <c r="V144" s="3">
        <f t="shared" si="48"/>
        <v>3092602746.5753369</v>
      </c>
      <c r="W144" s="3">
        <f t="shared" si="49"/>
        <v>34592469781.46917</v>
      </c>
      <c r="X144" s="3">
        <f t="shared" si="50"/>
        <v>12626251470236.246</v>
      </c>
      <c r="Y144" s="3">
        <f t="shared" si="51"/>
        <v>797561546436.48108</v>
      </c>
      <c r="AK144">
        <v>9.0129000000000001</v>
      </c>
      <c r="AL144">
        <v>1000000</v>
      </c>
      <c r="AM144">
        <f t="shared" si="52"/>
        <v>9012900</v>
      </c>
      <c r="AN144">
        <v>6.3225499999999997</v>
      </c>
      <c r="AO144">
        <v>1000000</v>
      </c>
      <c r="AP144">
        <f t="shared" si="53"/>
        <v>6322550</v>
      </c>
    </row>
    <row r="145" spans="1:42" x14ac:dyDescent="0.4">
      <c r="A145">
        <v>134</v>
      </c>
      <c r="B145" s="2">
        <v>20475600</v>
      </c>
      <c r="C145" s="2">
        <v>9924360</v>
      </c>
      <c r="D145" s="2">
        <f>IF(B145&lt;2500000,2500000,B145)</f>
        <v>20475600</v>
      </c>
      <c r="E145" s="2">
        <v>20111700</v>
      </c>
      <c r="F145" s="2">
        <v>7831470</v>
      </c>
      <c r="G145" s="2">
        <v>10169700</v>
      </c>
      <c r="H145" s="2">
        <v>8695610.5399386324</v>
      </c>
      <c r="I145" s="2">
        <f>62.16*(100000)</f>
        <v>6216000</v>
      </c>
      <c r="J145" s="2">
        <f t="shared" si="36"/>
        <v>14259600</v>
      </c>
      <c r="K145" s="2">
        <f t="shared" si="37"/>
        <v>3708360</v>
      </c>
      <c r="L145" s="2">
        <f t="shared" si="38"/>
        <v>14259600</v>
      </c>
      <c r="M145" s="2">
        <f t="shared" si="39"/>
        <v>13895700</v>
      </c>
      <c r="N145" s="2">
        <f t="shared" si="40"/>
        <v>1615470</v>
      </c>
      <c r="O145" s="2">
        <f t="shared" si="41"/>
        <v>3953700</v>
      </c>
      <c r="P145" s="2">
        <f t="shared" si="42"/>
        <v>2479610.5399386324</v>
      </c>
      <c r="Q145" s="3">
        <f t="shared" si="43"/>
        <v>557085457972.60278</v>
      </c>
      <c r="R145" s="3">
        <f t="shared" si="44"/>
        <v>37676531204.38356</v>
      </c>
      <c r="S145" s="3">
        <f t="shared" si="45"/>
        <v>557085457972.60278</v>
      </c>
      <c r="T145" s="3">
        <f t="shared" si="46"/>
        <v>529015009561.64386</v>
      </c>
      <c r="U145" s="3">
        <f t="shared" si="47"/>
        <v>7149981701.09589</v>
      </c>
      <c r="V145" s="3">
        <f t="shared" si="48"/>
        <v>42826695041.095894</v>
      </c>
      <c r="W145" s="3">
        <f t="shared" si="49"/>
        <v>16845118985.684263</v>
      </c>
      <c r="X145" s="3">
        <f t="shared" si="50"/>
        <v>6148468429774.7559</v>
      </c>
      <c r="Y145" s="3">
        <f t="shared" si="51"/>
        <v>4252103872463.8765</v>
      </c>
      <c r="AK145">
        <v>7.8314700000000004</v>
      </c>
      <c r="AL145">
        <v>1000000</v>
      </c>
      <c r="AM145">
        <f t="shared" si="52"/>
        <v>7831470</v>
      </c>
      <c r="AN145">
        <v>10.169700000000001</v>
      </c>
      <c r="AO145">
        <v>1000000</v>
      </c>
      <c r="AP145">
        <f t="shared" si="53"/>
        <v>10169700</v>
      </c>
    </row>
    <row r="146" spans="1:42" x14ac:dyDescent="0.4">
      <c r="A146">
        <v>135</v>
      </c>
      <c r="B146" s="2">
        <v>17614100</v>
      </c>
      <c r="C146" s="2">
        <v>3939840</v>
      </c>
      <c r="D146" s="2">
        <f>IF(B146&lt;2500000,2500000,B146)</f>
        <v>17614100</v>
      </c>
      <c r="E146" s="2">
        <v>17070700</v>
      </c>
      <c r="F146" s="2">
        <v>6851820</v>
      </c>
      <c r="G146" s="2">
        <v>4914710</v>
      </c>
      <c r="H146" s="2">
        <v>7836123.9990162691</v>
      </c>
      <c r="I146" s="2">
        <f>56.01*(100000)</f>
        <v>5601000</v>
      </c>
      <c r="J146" s="2">
        <f t="shared" si="36"/>
        <v>12013100</v>
      </c>
      <c r="K146" s="2">
        <f t="shared" si="37"/>
        <v>1661160</v>
      </c>
      <c r="L146" s="2">
        <f t="shared" si="38"/>
        <v>12013100</v>
      </c>
      <c r="M146" s="2">
        <f t="shared" si="39"/>
        <v>11469700</v>
      </c>
      <c r="N146" s="2">
        <f t="shared" si="40"/>
        <v>1250820</v>
      </c>
      <c r="O146" s="2">
        <f t="shared" si="41"/>
        <v>686290</v>
      </c>
      <c r="P146" s="2">
        <f t="shared" si="42"/>
        <v>2235123.9990162691</v>
      </c>
      <c r="Q146" s="3">
        <f t="shared" si="43"/>
        <v>395382387972.60272</v>
      </c>
      <c r="R146" s="3">
        <f t="shared" si="44"/>
        <v>7560143960.547945</v>
      </c>
      <c r="S146" s="3">
        <f t="shared" si="45"/>
        <v>395382387972.60272</v>
      </c>
      <c r="T146" s="3">
        <f t="shared" si="46"/>
        <v>360421967369.86304</v>
      </c>
      <c r="U146" s="3">
        <f t="shared" si="47"/>
        <v>4286440198.3561645</v>
      </c>
      <c r="V146" s="3">
        <f t="shared" si="48"/>
        <v>1290394422.1917808</v>
      </c>
      <c r="W146" s="3">
        <f t="shared" si="49"/>
        <v>13687066550.625969</v>
      </c>
      <c r="X146" s="3">
        <f t="shared" si="50"/>
        <v>4995779290978.4785</v>
      </c>
      <c r="Y146" s="3">
        <f t="shared" si="51"/>
        <v>7166666379313.1914</v>
      </c>
      <c r="AK146">
        <v>6.85182</v>
      </c>
      <c r="AL146">
        <v>1000000</v>
      </c>
      <c r="AM146">
        <f t="shared" si="52"/>
        <v>6851820</v>
      </c>
      <c r="AN146">
        <v>4.9147100000000004</v>
      </c>
      <c r="AO146">
        <v>1000000</v>
      </c>
      <c r="AP146">
        <f t="shared" si="53"/>
        <v>4914710</v>
      </c>
    </row>
    <row r="147" spans="1:42" x14ac:dyDescent="0.4">
      <c r="A147">
        <v>136</v>
      </c>
      <c r="B147" s="2">
        <v>14678700</v>
      </c>
      <c r="C147" s="2">
        <v>1724850</v>
      </c>
      <c r="D147" s="2">
        <f>IF(B147&lt;2500000,2500000,B147)</f>
        <v>14678700</v>
      </c>
      <c r="E147" s="2">
        <v>14016800</v>
      </c>
      <c r="F147" s="2">
        <v>10494300</v>
      </c>
      <c r="G147" s="2">
        <v>9031810</v>
      </c>
      <c r="H147" s="2">
        <v>7176769.637697327</v>
      </c>
      <c r="I147" s="2">
        <f>55.38*(100000)</f>
        <v>5538000</v>
      </c>
      <c r="J147" s="2">
        <f t="shared" si="36"/>
        <v>9140700</v>
      </c>
      <c r="K147" s="2">
        <f t="shared" si="37"/>
        <v>3813150</v>
      </c>
      <c r="L147" s="2">
        <f t="shared" si="38"/>
        <v>9140700</v>
      </c>
      <c r="M147" s="2">
        <f t="shared" si="39"/>
        <v>8478800</v>
      </c>
      <c r="N147" s="2">
        <f t="shared" si="40"/>
        <v>4956300</v>
      </c>
      <c r="O147" s="2">
        <f t="shared" si="41"/>
        <v>3493810</v>
      </c>
      <c r="P147" s="2">
        <f t="shared" si="42"/>
        <v>1638769.637697327</v>
      </c>
      <c r="Q147" s="3">
        <f t="shared" si="43"/>
        <v>228910675315.06848</v>
      </c>
      <c r="R147" s="3">
        <f t="shared" si="44"/>
        <v>39835925815.068497</v>
      </c>
      <c r="S147" s="3">
        <f t="shared" si="45"/>
        <v>228910675315.06848</v>
      </c>
      <c r="T147" s="3">
        <f t="shared" si="46"/>
        <v>196959039561.64383</v>
      </c>
      <c r="U147" s="3">
        <f t="shared" si="47"/>
        <v>67301122438.356163</v>
      </c>
      <c r="V147" s="3">
        <f t="shared" si="48"/>
        <v>33443036482.465752</v>
      </c>
      <c r="W147" s="3">
        <f t="shared" si="49"/>
        <v>7357714864.2154207</v>
      </c>
      <c r="X147" s="3">
        <f t="shared" si="50"/>
        <v>2685565925438.6284</v>
      </c>
      <c r="Y147" s="3">
        <f t="shared" si="51"/>
        <v>7507945319039.2188</v>
      </c>
      <c r="AK147">
        <v>10.494300000000001</v>
      </c>
      <c r="AL147">
        <v>1000000</v>
      </c>
      <c r="AM147">
        <f t="shared" si="52"/>
        <v>10494300</v>
      </c>
      <c r="AN147">
        <v>9.0318100000000001</v>
      </c>
      <c r="AO147">
        <v>1000000</v>
      </c>
      <c r="AP147">
        <f t="shared" si="53"/>
        <v>9031810</v>
      </c>
    </row>
    <row r="148" spans="1:42" x14ac:dyDescent="0.4">
      <c r="A148">
        <v>137</v>
      </c>
      <c r="B148" s="2">
        <v>12075700</v>
      </c>
      <c r="C148" s="2">
        <v>783473</v>
      </c>
      <c r="D148" s="2">
        <f>IF(B148&lt;2500000,2500000,B148)</f>
        <v>12075700</v>
      </c>
      <c r="E148" s="2">
        <v>11341800</v>
      </c>
      <c r="F148" s="2">
        <v>5323830</v>
      </c>
      <c r="G148" s="2">
        <v>3948850</v>
      </c>
      <c r="H148" s="2">
        <v>6704775.9816210447</v>
      </c>
      <c r="I148" s="2">
        <f>53.54*(100000)</f>
        <v>5354000</v>
      </c>
      <c r="J148" s="2">
        <f t="shared" si="36"/>
        <v>6721700</v>
      </c>
      <c r="K148" s="2">
        <f t="shared" si="37"/>
        <v>4570527</v>
      </c>
      <c r="L148" s="2">
        <f t="shared" si="38"/>
        <v>6721700</v>
      </c>
      <c r="M148" s="2">
        <f t="shared" si="39"/>
        <v>5987800</v>
      </c>
      <c r="N148" s="2">
        <f t="shared" si="40"/>
        <v>30170</v>
      </c>
      <c r="O148" s="2">
        <f t="shared" si="41"/>
        <v>1405150</v>
      </c>
      <c r="P148" s="2">
        <f t="shared" si="42"/>
        <v>1350775.9816210447</v>
      </c>
      <c r="Q148" s="3">
        <f t="shared" si="43"/>
        <v>123784249013.69862</v>
      </c>
      <c r="R148" s="3">
        <f t="shared" si="44"/>
        <v>57232101528.024658</v>
      </c>
      <c r="S148" s="3">
        <f t="shared" si="45"/>
        <v>123784249013.69862</v>
      </c>
      <c r="T148" s="3">
        <f t="shared" si="46"/>
        <v>98229448876.712326</v>
      </c>
      <c r="U148" s="3">
        <f t="shared" si="47"/>
        <v>2493777.8082191781</v>
      </c>
      <c r="V148" s="3">
        <f t="shared" si="48"/>
        <v>5409442527.3972607</v>
      </c>
      <c r="W148" s="3">
        <f t="shared" si="49"/>
        <v>4998892472.6693068</v>
      </c>
      <c r="X148" s="3">
        <f t="shared" si="50"/>
        <v>1824595752524.2969</v>
      </c>
      <c r="Y148" s="3">
        <f t="shared" si="51"/>
        <v>8550144508080.3145</v>
      </c>
      <c r="AK148">
        <v>5.3238300000000001</v>
      </c>
      <c r="AL148">
        <v>1000000</v>
      </c>
      <c r="AM148">
        <f t="shared" si="52"/>
        <v>5323830</v>
      </c>
      <c r="AN148">
        <v>3.9488500000000002</v>
      </c>
      <c r="AO148">
        <v>1000000</v>
      </c>
      <c r="AP148">
        <f t="shared" si="53"/>
        <v>3948850</v>
      </c>
    </row>
    <row r="149" spans="1:42" x14ac:dyDescent="0.4">
      <c r="A149">
        <v>138</v>
      </c>
      <c r="B149" s="2">
        <v>10483700</v>
      </c>
      <c r="C149" s="2">
        <v>3349790</v>
      </c>
      <c r="D149" s="2">
        <f>IF(B149&lt;2500000,2500000,B149)</f>
        <v>10483700</v>
      </c>
      <c r="E149" s="2">
        <v>9764920</v>
      </c>
      <c r="F149" s="2">
        <v>4933360</v>
      </c>
      <c r="G149" s="2">
        <v>8270490.0000000009</v>
      </c>
      <c r="H149" s="2">
        <v>6456555.7769664712</v>
      </c>
      <c r="I149" s="2">
        <f>56.9*(100000)</f>
        <v>5690000</v>
      </c>
      <c r="J149" s="2">
        <f t="shared" si="36"/>
        <v>4793700</v>
      </c>
      <c r="K149" s="2">
        <f t="shared" si="37"/>
        <v>2340210</v>
      </c>
      <c r="L149" s="2">
        <f t="shared" si="38"/>
        <v>4793700</v>
      </c>
      <c r="M149" s="2">
        <f t="shared" si="39"/>
        <v>4074920</v>
      </c>
      <c r="N149" s="2">
        <f t="shared" si="40"/>
        <v>756640</v>
      </c>
      <c r="O149" s="2">
        <f t="shared" si="41"/>
        <v>2580490.0000000009</v>
      </c>
      <c r="P149" s="2">
        <f t="shared" si="42"/>
        <v>766555.77696647123</v>
      </c>
      <c r="Q149" s="3">
        <f t="shared" si="43"/>
        <v>62957697780.821915</v>
      </c>
      <c r="R149" s="3">
        <f t="shared" si="44"/>
        <v>15004336559.178082</v>
      </c>
      <c r="S149" s="3">
        <f t="shared" si="45"/>
        <v>62957697780.821915</v>
      </c>
      <c r="T149" s="3">
        <f t="shared" si="46"/>
        <v>45493076729.863014</v>
      </c>
      <c r="U149" s="3">
        <f t="shared" si="47"/>
        <v>1568504355.0684931</v>
      </c>
      <c r="V149" s="3">
        <f t="shared" si="48"/>
        <v>18243640109.863026</v>
      </c>
      <c r="W149" s="3">
        <f t="shared" si="49"/>
        <v>1609884271.7826586</v>
      </c>
      <c r="X149" s="3">
        <f t="shared" si="50"/>
        <v>587607759200.67041</v>
      </c>
      <c r="Y149" s="3">
        <f t="shared" si="51"/>
        <v>6698070162874.835</v>
      </c>
      <c r="AK149">
        <v>4.9333600000000004</v>
      </c>
      <c r="AL149">
        <v>1000000</v>
      </c>
      <c r="AM149">
        <f t="shared" si="52"/>
        <v>4933360</v>
      </c>
      <c r="AN149">
        <v>8.2704900000000006</v>
      </c>
      <c r="AO149">
        <v>1000000</v>
      </c>
      <c r="AP149">
        <f t="shared" si="53"/>
        <v>8270490.0000000009</v>
      </c>
    </row>
    <row r="150" spans="1:42" x14ac:dyDescent="0.4">
      <c r="A150">
        <v>139</v>
      </c>
      <c r="B150" s="2">
        <v>14586700</v>
      </c>
      <c r="C150" s="2">
        <v>30110300</v>
      </c>
      <c r="D150" s="2">
        <f>IF(B150&lt;2500000,2500000,B150)</f>
        <v>14586700</v>
      </c>
      <c r="E150" s="2">
        <v>10160600</v>
      </c>
      <c r="F150" s="2">
        <v>6469710</v>
      </c>
      <c r="G150" s="2">
        <v>4751540</v>
      </c>
      <c r="H150" s="2">
        <v>8523680.2301165685</v>
      </c>
      <c r="I150" s="2">
        <f>53.36*(100000)</f>
        <v>5336000</v>
      </c>
      <c r="J150" s="2">
        <f t="shared" si="36"/>
        <v>9250700</v>
      </c>
      <c r="K150" s="2">
        <f t="shared" si="37"/>
        <v>24774300</v>
      </c>
      <c r="L150" s="2">
        <f t="shared" si="38"/>
        <v>9250700</v>
      </c>
      <c r="M150" s="2">
        <f t="shared" si="39"/>
        <v>4824600</v>
      </c>
      <c r="N150" s="2">
        <f t="shared" si="40"/>
        <v>1133710</v>
      </c>
      <c r="O150" s="2">
        <f t="shared" si="41"/>
        <v>584460</v>
      </c>
      <c r="P150" s="2">
        <f t="shared" si="42"/>
        <v>3187680.2301165685</v>
      </c>
      <c r="Q150" s="3">
        <f t="shared" si="43"/>
        <v>234453289013.69864</v>
      </c>
      <c r="R150" s="3">
        <f t="shared" si="44"/>
        <v>1681550521890.4109</v>
      </c>
      <c r="S150" s="3">
        <f t="shared" si="45"/>
        <v>234453289013.69864</v>
      </c>
      <c r="T150" s="3">
        <f t="shared" si="46"/>
        <v>63771959342.465752</v>
      </c>
      <c r="U150" s="3">
        <f t="shared" si="47"/>
        <v>3521365381.0958905</v>
      </c>
      <c r="V150" s="3">
        <f t="shared" si="48"/>
        <v>935872579.72602737</v>
      </c>
      <c r="W150" s="3">
        <f t="shared" si="49"/>
        <v>27839192464.317863</v>
      </c>
      <c r="X150" s="3">
        <f t="shared" si="50"/>
        <v>10161305249476.02</v>
      </c>
      <c r="Y150" s="3">
        <f t="shared" si="51"/>
        <v>8655734776573.4658</v>
      </c>
      <c r="AK150">
        <v>6.4697100000000001</v>
      </c>
      <c r="AL150">
        <v>1000000</v>
      </c>
      <c r="AM150">
        <f t="shared" si="52"/>
        <v>6469710</v>
      </c>
      <c r="AN150">
        <v>4.7515400000000003</v>
      </c>
      <c r="AO150">
        <v>1000000</v>
      </c>
      <c r="AP150">
        <f t="shared" si="53"/>
        <v>4751540</v>
      </c>
    </row>
    <row r="151" spans="1:42" x14ac:dyDescent="0.4">
      <c r="A151">
        <v>140</v>
      </c>
      <c r="B151" s="2">
        <v>8056730</v>
      </c>
      <c r="C151" s="2">
        <v>11282100</v>
      </c>
      <c r="D151" s="2">
        <f>IF(B151&lt;2500000,2500000,B151)</f>
        <v>8056730</v>
      </c>
      <c r="E151" s="2">
        <v>12524500</v>
      </c>
      <c r="F151" s="2">
        <v>5583070</v>
      </c>
      <c r="G151" s="2">
        <v>8611110</v>
      </c>
      <c r="H151" s="2">
        <v>6650487.7091151616</v>
      </c>
      <c r="I151" s="2">
        <f>47.87*(100000)</f>
        <v>4787000</v>
      </c>
      <c r="J151" s="2">
        <f t="shared" si="36"/>
        <v>3269730</v>
      </c>
      <c r="K151" s="2">
        <f t="shared" si="37"/>
        <v>6495100</v>
      </c>
      <c r="L151" s="2">
        <f t="shared" si="38"/>
        <v>3269730</v>
      </c>
      <c r="M151" s="2">
        <f t="shared" si="39"/>
        <v>7737500</v>
      </c>
      <c r="N151" s="2">
        <f t="shared" si="40"/>
        <v>796070</v>
      </c>
      <c r="O151" s="2">
        <f t="shared" si="41"/>
        <v>3824110</v>
      </c>
      <c r="P151" s="2">
        <f t="shared" si="42"/>
        <v>1863487.7091151616</v>
      </c>
      <c r="Q151" s="3">
        <f t="shared" si="43"/>
        <v>29290778829.863014</v>
      </c>
      <c r="R151" s="3">
        <f t="shared" si="44"/>
        <v>115578969890.41096</v>
      </c>
      <c r="S151" s="3">
        <f t="shared" si="45"/>
        <v>29290778829.863014</v>
      </c>
      <c r="T151" s="3">
        <f t="shared" si="46"/>
        <v>164024400684.93152</v>
      </c>
      <c r="U151" s="3">
        <f t="shared" si="47"/>
        <v>1736239575.0684931</v>
      </c>
      <c r="V151" s="3">
        <f t="shared" si="48"/>
        <v>40065252855.068497</v>
      </c>
      <c r="W151" s="3">
        <f t="shared" si="49"/>
        <v>9513935457.5980072</v>
      </c>
      <c r="X151" s="3">
        <f t="shared" si="50"/>
        <v>3472586442023.2729</v>
      </c>
      <c r="Y151" s="3">
        <f t="shared" si="51"/>
        <v>12187520965614.561</v>
      </c>
      <c r="AK151">
        <v>5.5830700000000002</v>
      </c>
      <c r="AL151">
        <v>1000000</v>
      </c>
      <c r="AM151">
        <f t="shared" si="52"/>
        <v>5583070</v>
      </c>
      <c r="AN151">
        <v>8.61111</v>
      </c>
      <c r="AO151">
        <v>1000000</v>
      </c>
      <c r="AP151">
        <f t="shared" si="53"/>
        <v>8611110</v>
      </c>
    </row>
    <row r="152" spans="1:42" x14ac:dyDescent="0.4">
      <c r="A152">
        <v>141</v>
      </c>
      <c r="B152" s="2">
        <v>11514600</v>
      </c>
      <c r="C152" s="2">
        <v>4415230</v>
      </c>
      <c r="D152" s="2">
        <f>IF(B152&lt;2500000,2500000,B152)</f>
        <v>11514600</v>
      </c>
      <c r="E152" s="2">
        <v>6692550</v>
      </c>
      <c r="F152" s="2">
        <v>4855490</v>
      </c>
      <c r="G152" s="2">
        <v>3636160</v>
      </c>
      <c r="H152" s="2">
        <v>6412911.6638476187</v>
      </c>
      <c r="I152" s="2">
        <f>46.9*(100000)</f>
        <v>4690000</v>
      </c>
      <c r="J152" s="2">
        <f t="shared" si="36"/>
        <v>6824600</v>
      </c>
      <c r="K152" s="2">
        <f t="shared" si="37"/>
        <v>274770</v>
      </c>
      <c r="L152" s="2">
        <f t="shared" si="38"/>
        <v>6824600</v>
      </c>
      <c r="M152" s="2">
        <f t="shared" si="39"/>
        <v>2002550</v>
      </c>
      <c r="N152" s="2">
        <f t="shared" si="40"/>
        <v>165490</v>
      </c>
      <c r="O152" s="2">
        <f t="shared" si="41"/>
        <v>1053840</v>
      </c>
      <c r="P152" s="2">
        <f t="shared" si="42"/>
        <v>1722911.6638476187</v>
      </c>
      <c r="Q152" s="3">
        <f t="shared" si="43"/>
        <v>127603192219.17809</v>
      </c>
      <c r="R152" s="3">
        <f t="shared" si="44"/>
        <v>206845350.41095892</v>
      </c>
      <c r="S152" s="3">
        <f t="shared" si="45"/>
        <v>127603192219.17809</v>
      </c>
      <c r="T152" s="3">
        <f t="shared" si="46"/>
        <v>10986867130.136986</v>
      </c>
      <c r="U152" s="3">
        <f t="shared" si="47"/>
        <v>75032712.602739722</v>
      </c>
      <c r="V152" s="3">
        <f t="shared" si="48"/>
        <v>3042681494.7945204</v>
      </c>
      <c r="W152" s="3">
        <f t="shared" si="49"/>
        <v>8132670140.8826571</v>
      </c>
      <c r="X152" s="3">
        <f t="shared" si="50"/>
        <v>2968424601422.1699</v>
      </c>
      <c r="Y152" s="3">
        <f t="shared" si="51"/>
        <v>12874196190272.096</v>
      </c>
      <c r="AK152">
        <v>4.8554899999999996</v>
      </c>
      <c r="AL152">
        <v>1000000</v>
      </c>
      <c r="AM152">
        <f t="shared" si="52"/>
        <v>4855490</v>
      </c>
      <c r="AN152">
        <v>3.6361599999999998</v>
      </c>
      <c r="AO152">
        <v>1000000</v>
      </c>
      <c r="AP152">
        <f t="shared" si="53"/>
        <v>3636160</v>
      </c>
    </row>
    <row r="153" spans="1:42" x14ac:dyDescent="0.4">
      <c r="A153">
        <v>142</v>
      </c>
      <c r="B153" s="2">
        <v>9606880</v>
      </c>
      <c r="C153" s="2">
        <v>1946150</v>
      </c>
      <c r="D153" s="2">
        <f>IF(B153&lt;2500000,2500000,B153)</f>
        <v>9606880</v>
      </c>
      <c r="E153" s="2">
        <v>4966350</v>
      </c>
      <c r="F153" s="2">
        <v>4260960</v>
      </c>
      <c r="G153" s="2">
        <v>3238780</v>
      </c>
      <c r="H153" s="2">
        <v>6154710.5878520794</v>
      </c>
      <c r="I153" s="2">
        <f>44.3*(100000)</f>
        <v>4430000</v>
      </c>
      <c r="J153" s="2">
        <f t="shared" si="36"/>
        <v>5176880</v>
      </c>
      <c r="K153" s="2">
        <f t="shared" si="37"/>
        <v>2483850</v>
      </c>
      <c r="L153" s="2">
        <f t="shared" si="38"/>
        <v>5176880</v>
      </c>
      <c r="M153" s="2">
        <f t="shared" si="39"/>
        <v>536350</v>
      </c>
      <c r="N153" s="2">
        <f t="shared" si="40"/>
        <v>169040</v>
      </c>
      <c r="O153" s="2">
        <f t="shared" si="41"/>
        <v>1191220</v>
      </c>
      <c r="P153" s="2">
        <f t="shared" si="42"/>
        <v>1724710.5878520794</v>
      </c>
      <c r="Q153" s="3">
        <f t="shared" si="43"/>
        <v>73424894614.794525</v>
      </c>
      <c r="R153" s="3">
        <f t="shared" si="44"/>
        <v>16902769376.712328</v>
      </c>
      <c r="S153" s="3">
        <f t="shared" si="45"/>
        <v>73424894614.794525</v>
      </c>
      <c r="T153" s="3">
        <f t="shared" si="46"/>
        <v>788140609.58904111</v>
      </c>
      <c r="U153" s="3">
        <f t="shared" si="47"/>
        <v>78286360.547945201</v>
      </c>
      <c r="V153" s="3">
        <f t="shared" si="48"/>
        <v>3887685173.6986303</v>
      </c>
      <c r="W153" s="3">
        <f t="shared" si="49"/>
        <v>8149661950.2714119</v>
      </c>
      <c r="X153" s="3">
        <f t="shared" si="50"/>
        <v>2974626611849.0654</v>
      </c>
      <c r="Y153" s="3">
        <f t="shared" si="51"/>
        <v>14807588957395.383</v>
      </c>
      <c r="AK153">
        <v>4.2609599999999999</v>
      </c>
      <c r="AL153">
        <v>1000000</v>
      </c>
      <c r="AM153">
        <f t="shared" si="52"/>
        <v>4260960</v>
      </c>
      <c r="AN153">
        <v>3.2387800000000002</v>
      </c>
      <c r="AO153">
        <v>1000000</v>
      </c>
      <c r="AP153">
        <f t="shared" si="53"/>
        <v>3238780</v>
      </c>
    </row>
    <row r="154" spans="1:42" x14ac:dyDescent="0.4">
      <c r="A154">
        <v>143</v>
      </c>
      <c r="B154" s="2">
        <v>3628980</v>
      </c>
      <c r="C154" s="2">
        <v>880809</v>
      </c>
      <c r="D154" s="2">
        <f>IF(B154&lt;2500000,2500000,B154)</f>
        <v>3628980</v>
      </c>
      <c r="E154" s="2">
        <v>8004080</v>
      </c>
      <c r="F154" s="2">
        <v>3753760</v>
      </c>
      <c r="G154" s="2">
        <v>7431580</v>
      </c>
      <c r="H154" s="2">
        <v>5862744.3876486439</v>
      </c>
      <c r="I154" s="2">
        <f>42.89*(100000)</f>
        <v>4289000</v>
      </c>
      <c r="J154" s="2">
        <f t="shared" si="36"/>
        <v>660020</v>
      </c>
      <c r="K154" s="2">
        <f t="shared" si="37"/>
        <v>3408191</v>
      </c>
      <c r="L154" s="2">
        <f t="shared" si="38"/>
        <v>660020</v>
      </c>
      <c r="M154" s="2">
        <f t="shared" si="39"/>
        <v>3715080</v>
      </c>
      <c r="N154" s="2">
        <f t="shared" si="40"/>
        <v>535240</v>
      </c>
      <c r="O154" s="2">
        <f t="shared" si="41"/>
        <v>3142580</v>
      </c>
      <c r="P154" s="2">
        <f t="shared" si="42"/>
        <v>1573744.3876486439</v>
      </c>
      <c r="Q154" s="3">
        <f t="shared" si="43"/>
        <v>1193496987.3972602</v>
      </c>
      <c r="R154" s="3">
        <f t="shared" si="44"/>
        <v>31824016143.783562</v>
      </c>
      <c r="S154" s="3">
        <f t="shared" si="45"/>
        <v>1193496987.3972602</v>
      </c>
      <c r="T154" s="3">
        <f t="shared" si="46"/>
        <v>37813203853.150688</v>
      </c>
      <c r="U154" s="3">
        <f t="shared" si="47"/>
        <v>784881801.64383566</v>
      </c>
      <c r="V154" s="3">
        <f t="shared" si="48"/>
        <v>27057011113.424656</v>
      </c>
      <c r="W154" s="3">
        <f t="shared" si="49"/>
        <v>6785401089.467412</v>
      </c>
      <c r="X154" s="3">
        <f t="shared" si="50"/>
        <v>2476671397655.6055</v>
      </c>
      <c r="Y154" s="3">
        <f t="shared" si="51"/>
        <v>15912623727258.396</v>
      </c>
      <c r="AK154">
        <v>3.7537600000000002</v>
      </c>
      <c r="AL154">
        <v>1000000</v>
      </c>
      <c r="AM154">
        <f t="shared" si="52"/>
        <v>3753760</v>
      </c>
      <c r="AN154">
        <v>7.4315800000000003</v>
      </c>
      <c r="AO154">
        <v>1000000</v>
      </c>
      <c r="AP154">
        <f t="shared" si="53"/>
        <v>7431580</v>
      </c>
    </row>
    <row r="155" spans="1:42" x14ac:dyDescent="0.4">
      <c r="A155">
        <v>144</v>
      </c>
      <c r="B155" s="2">
        <v>2551260</v>
      </c>
      <c r="C155" s="2">
        <v>409756</v>
      </c>
      <c r="D155" s="2">
        <f>IF(B155&lt;2500000,2500000,B155)</f>
        <v>2551260</v>
      </c>
      <c r="E155" s="2">
        <v>2315460</v>
      </c>
      <c r="F155" s="2">
        <v>3315160</v>
      </c>
      <c r="G155" s="2">
        <v>2611020</v>
      </c>
      <c r="H155" s="2">
        <v>5598092.6660064384</v>
      </c>
      <c r="I155" s="2">
        <f>40.88*(100000)</f>
        <v>4088000.0000000005</v>
      </c>
      <c r="J155" s="2">
        <f t="shared" si="36"/>
        <v>1536740.0000000005</v>
      </c>
      <c r="K155" s="2">
        <f t="shared" si="37"/>
        <v>3678244.0000000005</v>
      </c>
      <c r="L155" s="2">
        <f t="shared" si="38"/>
        <v>1536740.0000000005</v>
      </c>
      <c r="M155" s="2">
        <f t="shared" si="39"/>
        <v>1772540.0000000005</v>
      </c>
      <c r="N155" s="2">
        <f t="shared" si="40"/>
        <v>772840.00000000047</v>
      </c>
      <c r="O155" s="2">
        <f t="shared" si="41"/>
        <v>1476980.0000000005</v>
      </c>
      <c r="P155" s="2">
        <f t="shared" si="42"/>
        <v>1510092.666006438</v>
      </c>
      <c r="Q155" s="3">
        <f t="shared" si="43"/>
        <v>6470054322.1917849</v>
      </c>
      <c r="R155" s="3">
        <f t="shared" si="44"/>
        <v>37067065543.934258</v>
      </c>
      <c r="S155" s="3">
        <f t="shared" si="45"/>
        <v>6470054322.1917849</v>
      </c>
      <c r="T155" s="3">
        <f t="shared" si="46"/>
        <v>8607939867.3972645</v>
      </c>
      <c r="U155" s="3">
        <f t="shared" si="47"/>
        <v>1636388124.9315088</v>
      </c>
      <c r="V155" s="3">
        <f t="shared" si="48"/>
        <v>5976629918.9041138</v>
      </c>
      <c r="W155" s="3">
        <f t="shared" si="49"/>
        <v>6247616054.5929632</v>
      </c>
      <c r="X155" s="3">
        <f t="shared" si="50"/>
        <v>2280379859926.4316</v>
      </c>
      <c r="Y155" s="3">
        <f t="shared" si="51"/>
        <v>17556628058765.242</v>
      </c>
      <c r="AK155">
        <v>3.3151600000000001</v>
      </c>
      <c r="AL155">
        <v>1000000</v>
      </c>
      <c r="AM155">
        <f t="shared" si="52"/>
        <v>3315160</v>
      </c>
      <c r="AN155">
        <v>2.6110199999999999</v>
      </c>
      <c r="AO155">
        <v>1000000</v>
      </c>
      <c r="AP155">
        <f t="shared" si="53"/>
        <v>2611020</v>
      </c>
    </row>
    <row r="156" spans="1:42" x14ac:dyDescent="0.4">
      <c r="A156">
        <v>145</v>
      </c>
      <c r="B156" s="2">
        <v>6468460</v>
      </c>
      <c r="C156" s="2">
        <v>194228</v>
      </c>
      <c r="D156" s="2">
        <f>IF(B156&lt;2500000,2500000,B156)</f>
        <v>6468460</v>
      </c>
      <c r="E156" s="2">
        <v>1741550</v>
      </c>
      <c r="F156" s="2">
        <v>2936920</v>
      </c>
      <c r="G156" s="2">
        <v>2356390</v>
      </c>
      <c r="H156" s="2">
        <v>5379745.8401650935</v>
      </c>
      <c r="I156" s="2">
        <f>41.04*(100000)</f>
        <v>4104000</v>
      </c>
      <c r="J156" s="2">
        <f t="shared" si="36"/>
        <v>2364460</v>
      </c>
      <c r="K156" s="2">
        <f t="shared" si="37"/>
        <v>3909772</v>
      </c>
      <c r="L156" s="2">
        <f t="shared" si="38"/>
        <v>2364460</v>
      </c>
      <c r="M156" s="2">
        <f t="shared" si="39"/>
        <v>2362450</v>
      </c>
      <c r="N156" s="2">
        <f t="shared" si="40"/>
        <v>1167080</v>
      </c>
      <c r="O156" s="2">
        <f t="shared" si="41"/>
        <v>1747610</v>
      </c>
      <c r="P156" s="2">
        <f t="shared" si="42"/>
        <v>1275745.8401650935</v>
      </c>
      <c r="Q156" s="3">
        <f t="shared" si="43"/>
        <v>15316907100.273973</v>
      </c>
      <c r="R156" s="3">
        <f t="shared" si="44"/>
        <v>41880320799.956161</v>
      </c>
      <c r="S156" s="3">
        <f t="shared" si="45"/>
        <v>15316907100.273973</v>
      </c>
      <c r="T156" s="3">
        <f t="shared" si="46"/>
        <v>15290876719.178082</v>
      </c>
      <c r="U156" s="3">
        <f t="shared" si="47"/>
        <v>3731714318.9041095</v>
      </c>
      <c r="V156" s="3">
        <f t="shared" si="48"/>
        <v>8367508800.2739725</v>
      </c>
      <c r="W156" s="3">
        <f t="shared" si="49"/>
        <v>4458979311.5028505</v>
      </c>
      <c r="X156" s="3">
        <f t="shared" si="50"/>
        <v>1627527448698.5403</v>
      </c>
      <c r="Y156" s="3">
        <f t="shared" si="51"/>
        <v>17422802042326.891</v>
      </c>
      <c r="AK156">
        <v>2.9369200000000002</v>
      </c>
      <c r="AL156">
        <v>1000000</v>
      </c>
      <c r="AM156">
        <f t="shared" si="52"/>
        <v>2936920</v>
      </c>
      <c r="AN156">
        <v>2.3563900000000002</v>
      </c>
      <c r="AO156">
        <v>1000000</v>
      </c>
      <c r="AP156">
        <f t="shared" si="53"/>
        <v>2356390</v>
      </c>
    </row>
    <row r="157" spans="1:42" x14ac:dyDescent="0.4">
      <c r="A157">
        <v>146</v>
      </c>
      <c r="B157" s="2">
        <v>1606430</v>
      </c>
      <c r="C157" s="2">
        <v>93206</v>
      </c>
      <c r="D157" s="2">
        <f>IF(B157&lt;2500000,2500000,B157)</f>
        <v>2500000</v>
      </c>
      <c r="E157" s="2">
        <v>1368490</v>
      </c>
      <c r="F157" s="2">
        <v>2602980</v>
      </c>
      <c r="G157" s="2">
        <v>2128410</v>
      </c>
      <c r="H157" s="2">
        <v>5193040.5893345755</v>
      </c>
      <c r="I157" s="2">
        <f>39.87*(100000)</f>
        <v>3986999.9999999995</v>
      </c>
      <c r="J157" s="2">
        <f t="shared" si="36"/>
        <v>2380569.9999999995</v>
      </c>
      <c r="K157" s="2">
        <f t="shared" si="37"/>
        <v>3893793.9999999995</v>
      </c>
      <c r="L157" s="2">
        <f t="shared" si="38"/>
        <v>1486999.9999999995</v>
      </c>
      <c r="M157" s="2">
        <f t="shared" si="39"/>
        <v>2618509.9999999995</v>
      </c>
      <c r="N157" s="2">
        <f t="shared" si="40"/>
        <v>1384019.9999999995</v>
      </c>
      <c r="O157" s="2">
        <f t="shared" si="41"/>
        <v>1858589.9999999995</v>
      </c>
      <c r="P157" s="2">
        <f t="shared" si="42"/>
        <v>1206040.5893345759</v>
      </c>
      <c r="Q157" s="3">
        <f t="shared" si="43"/>
        <v>15526338424.383556</v>
      </c>
      <c r="R157" s="3">
        <f t="shared" si="44"/>
        <v>41538717025.852043</v>
      </c>
      <c r="S157" s="3">
        <f t="shared" si="45"/>
        <v>6057997260.2739687</v>
      </c>
      <c r="T157" s="3">
        <f t="shared" si="46"/>
        <v>18785190739.999996</v>
      </c>
      <c r="U157" s="3">
        <f t="shared" si="47"/>
        <v>5247976329.8630104</v>
      </c>
      <c r="V157" s="3">
        <f t="shared" si="48"/>
        <v>9463991200.2739677</v>
      </c>
      <c r="W157" s="3">
        <f t="shared" si="49"/>
        <v>3985024392.1164141</v>
      </c>
      <c r="X157" s="3">
        <f t="shared" si="50"/>
        <v>1454533903122.4912</v>
      </c>
      <c r="Y157" s="3">
        <f t="shared" si="51"/>
        <v>18413221787532.371</v>
      </c>
      <c r="AK157">
        <v>2.6029800000000001</v>
      </c>
      <c r="AL157">
        <v>1000000</v>
      </c>
      <c r="AM157">
        <f t="shared" si="52"/>
        <v>2602980</v>
      </c>
      <c r="AN157">
        <v>2.1284100000000001</v>
      </c>
      <c r="AO157">
        <v>1000000</v>
      </c>
      <c r="AP157">
        <f t="shared" si="53"/>
        <v>2128410</v>
      </c>
    </row>
    <row r="158" spans="1:42" x14ac:dyDescent="0.4">
      <c r="A158">
        <v>147</v>
      </c>
      <c r="B158" s="2">
        <v>1320070</v>
      </c>
      <c r="C158" s="2">
        <v>45081.2</v>
      </c>
      <c r="D158" s="2">
        <f>IF(B158&lt;2500000,2500000,B158)</f>
        <v>2500000</v>
      </c>
      <c r="E158" s="2">
        <v>5588980</v>
      </c>
      <c r="F158" s="2">
        <v>2305810</v>
      </c>
      <c r="G158" s="2">
        <v>6465860</v>
      </c>
      <c r="H158" s="2">
        <v>5028717.7795170648</v>
      </c>
      <c r="I158" s="2">
        <f>39.03*(100000)</f>
        <v>3903000</v>
      </c>
      <c r="J158" s="2">
        <f t="shared" si="36"/>
        <v>2582930</v>
      </c>
      <c r="K158" s="2">
        <f t="shared" si="37"/>
        <v>3857918.8</v>
      </c>
      <c r="L158" s="2">
        <f t="shared" si="38"/>
        <v>1403000</v>
      </c>
      <c r="M158" s="2">
        <f t="shared" si="39"/>
        <v>1685980</v>
      </c>
      <c r="N158" s="2">
        <f t="shared" si="40"/>
        <v>1597190</v>
      </c>
      <c r="O158" s="2">
        <f t="shared" si="41"/>
        <v>2562860</v>
      </c>
      <c r="P158" s="2">
        <f t="shared" si="42"/>
        <v>1125717.7795170648</v>
      </c>
      <c r="Q158" s="3">
        <f t="shared" si="43"/>
        <v>18278157218.90411</v>
      </c>
      <c r="R158" s="3">
        <f t="shared" si="44"/>
        <v>40776814979.16011</v>
      </c>
      <c r="S158" s="3">
        <f t="shared" si="45"/>
        <v>5392901369.8630133</v>
      </c>
      <c r="T158" s="3">
        <f t="shared" si="46"/>
        <v>7787749480.547945</v>
      </c>
      <c r="U158" s="3">
        <f t="shared" si="47"/>
        <v>6989084646.8493147</v>
      </c>
      <c r="V158" s="3">
        <f t="shared" si="48"/>
        <v>17995209259.178082</v>
      </c>
      <c r="W158" s="3">
        <f t="shared" si="49"/>
        <v>3471891833.2077556</v>
      </c>
      <c r="X158" s="3">
        <f t="shared" si="50"/>
        <v>1267240519120.8308</v>
      </c>
      <c r="Y158" s="3">
        <f t="shared" si="51"/>
        <v>19141176373833.738</v>
      </c>
      <c r="AK158">
        <v>2.3058100000000001</v>
      </c>
      <c r="AL158">
        <v>1000000</v>
      </c>
      <c r="AM158">
        <f t="shared" si="52"/>
        <v>2305810</v>
      </c>
      <c r="AN158">
        <v>6.4658600000000002</v>
      </c>
      <c r="AO158">
        <v>1000000</v>
      </c>
      <c r="AP158">
        <f t="shared" si="53"/>
        <v>6465860</v>
      </c>
    </row>
    <row r="159" spans="1:42" x14ac:dyDescent="0.4">
      <c r="A159">
        <v>148</v>
      </c>
      <c r="B159" s="2">
        <v>1093780</v>
      </c>
      <c r="C159" s="2">
        <v>21912.9</v>
      </c>
      <c r="D159" s="2">
        <f>IF(B159&lt;2500000,2500000,B159)</f>
        <v>2500000</v>
      </c>
      <c r="E159" s="2">
        <v>879816</v>
      </c>
      <c r="F159" s="2">
        <v>2045929.9999999998</v>
      </c>
      <c r="G159" s="2">
        <v>1738560</v>
      </c>
      <c r="H159" s="2">
        <v>4881894.1476103868</v>
      </c>
      <c r="I159" s="2">
        <f>42.9*(100000)</f>
        <v>4290000</v>
      </c>
      <c r="J159" s="2">
        <f t="shared" si="36"/>
        <v>3196220</v>
      </c>
      <c r="K159" s="2">
        <f t="shared" si="37"/>
        <v>4268087.0999999996</v>
      </c>
      <c r="L159" s="2">
        <f t="shared" si="38"/>
        <v>1790000</v>
      </c>
      <c r="M159" s="2">
        <f t="shared" si="39"/>
        <v>3410184</v>
      </c>
      <c r="N159" s="2">
        <f t="shared" si="40"/>
        <v>2244070</v>
      </c>
      <c r="O159" s="2">
        <f t="shared" si="41"/>
        <v>2551440</v>
      </c>
      <c r="P159" s="2">
        <f t="shared" si="42"/>
        <v>591894.14761038683</v>
      </c>
      <c r="Q159" s="3">
        <f t="shared" si="43"/>
        <v>27988554214.794521</v>
      </c>
      <c r="R159" s="3">
        <f t="shared" si="44"/>
        <v>49908404090.921661</v>
      </c>
      <c r="S159" s="3">
        <f t="shared" si="45"/>
        <v>8778356164.3835621</v>
      </c>
      <c r="T159" s="3">
        <f t="shared" si="46"/>
        <v>31861246339.331509</v>
      </c>
      <c r="U159" s="3">
        <f t="shared" si="47"/>
        <v>13796849766.849316</v>
      </c>
      <c r="V159" s="3">
        <f t="shared" si="48"/>
        <v>17835194722.19178</v>
      </c>
      <c r="W159" s="3">
        <f t="shared" si="49"/>
        <v>959832005.41212714</v>
      </c>
      <c r="X159" s="3">
        <f t="shared" si="50"/>
        <v>350338681975.42639</v>
      </c>
      <c r="Y159" s="3">
        <f t="shared" si="51"/>
        <v>15904646601231</v>
      </c>
      <c r="AK159">
        <v>2.0459299999999998</v>
      </c>
      <c r="AL159">
        <v>1000000</v>
      </c>
      <c r="AM159">
        <f t="shared" si="52"/>
        <v>2045929.9999999998</v>
      </c>
      <c r="AN159">
        <v>1.7385600000000001</v>
      </c>
      <c r="AO159">
        <v>1000000</v>
      </c>
      <c r="AP159">
        <f t="shared" si="53"/>
        <v>1738560</v>
      </c>
    </row>
    <row r="160" spans="1:42" x14ac:dyDescent="0.4">
      <c r="A160">
        <v>149</v>
      </c>
      <c r="B160" s="2">
        <v>1062990</v>
      </c>
      <c r="C160" s="2">
        <v>755286</v>
      </c>
      <c r="D160" s="2">
        <f>IF(B160&lt;2500000,2500000,B160)</f>
        <v>2500000</v>
      </c>
      <c r="E160" s="2">
        <v>878406</v>
      </c>
      <c r="F160" s="2">
        <v>1870670</v>
      </c>
      <c r="G160" s="2">
        <v>1609640</v>
      </c>
      <c r="H160" s="2">
        <v>4796226.344120658</v>
      </c>
      <c r="I160" s="2">
        <f>84.28*(100000)</f>
        <v>8428000</v>
      </c>
      <c r="J160" s="2">
        <f t="shared" si="36"/>
        <v>7365010</v>
      </c>
      <c r="K160" s="2">
        <f t="shared" si="37"/>
        <v>7672714</v>
      </c>
      <c r="L160" s="2">
        <f t="shared" si="38"/>
        <v>5928000</v>
      </c>
      <c r="M160" s="2">
        <f t="shared" si="39"/>
        <v>7549594</v>
      </c>
      <c r="N160" s="2">
        <f t="shared" si="40"/>
        <v>6557330</v>
      </c>
      <c r="O160" s="2">
        <f t="shared" si="41"/>
        <v>6818360</v>
      </c>
      <c r="P160" s="2">
        <f t="shared" si="42"/>
        <v>3631773.655879342</v>
      </c>
      <c r="Q160" s="3">
        <f t="shared" si="43"/>
        <v>148611978904.38358</v>
      </c>
      <c r="R160" s="3">
        <f t="shared" si="44"/>
        <v>161289151029.57809</v>
      </c>
      <c r="S160" s="3">
        <f t="shared" si="45"/>
        <v>96277216438.356171</v>
      </c>
      <c r="T160" s="3">
        <f t="shared" si="46"/>
        <v>156154437163.93423</v>
      </c>
      <c r="U160" s="3">
        <f t="shared" si="47"/>
        <v>117804319805.20547</v>
      </c>
      <c r="V160" s="3">
        <f t="shared" si="48"/>
        <v>127369953670.13699</v>
      </c>
      <c r="W160" s="3">
        <f t="shared" si="49"/>
        <v>36136383253.532059</v>
      </c>
      <c r="X160" s="3">
        <f t="shared" si="50"/>
        <v>13189779887539.201</v>
      </c>
      <c r="Y160" s="3">
        <f t="shared" si="51"/>
        <v>22481099861.137203</v>
      </c>
      <c r="AK160">
        <v>1.8706700000000001</v>
      </c>
      <c r="AL160">
        <v>1000000</v>
      </c>
      <c r="AM160">
        <f t="shared" si="52"/>
        <v>1870670</v>
      </c>
      <c r="AN160">
        <v>1.60964</v>
      </c>
      <c r="AO160">
        <v>1000000</v>
      </c>
      <c r="AP160">
        <f t="shared" si="53"/>
        <v>1609640</v>
      </c>
    </row>
    <row r="161" spans="1:42" x14ac:dyDescent="0.4">
      <c r="A161">
        <v>150</v>
      </c>
      <c r="B161" s="2">
        <v>13981500</v>
      </c>
      <c r="C161" s="2">
        <v>63503000</v>
      </c>
      <c r="D161" s="2">
        <f>IF(B161&lt;2500000,2500000,B161)</f>
        <v>13981500</v>
      </c>
      <c r="E161" s="2">
        <v>14894200</v>
      </c>
      <c r="F161" s="2">
        <v>6275040</v>
      </c>
      <c r="G161" s="2">
        <v>4560710</v>
      </c>
      <c r="H161" s="2">
        <v>10744992.28148091</v>
      </c>
      <c r="I161" s="2">
        <f>405.57*(100000)</f>
        <v>40557000</v>
      </c>
      <c r="J161" s="2">
        <f t="shared" si="36"/>
        <v>26575500</v>
      </c>
      <c r="K161" s="2">
        <f t="shared" si="37"/>
        <v>22946000</v>
      </c>
      <c r="L161" s="2">
        <f t="shared" si="38"/>
        <v>26575500</v>
      </c>
      <c r="M161" s="2">
        <f t="shared" si="39"/>
        <v>25662800</v>
      </c>
      <c r="N161" s="2">
        <f t="shared" si="40"/>
        <v>34281960</v>
      </c>
      <c r="O161" s="2">
        <f t="shared" si="41"/>
        <v>35996290</v>
      </c>
      <c r="P161" s="2">
        <f t="shared" si="42"/>
        <v>29812007.718519092</v>
      </c>
      <c r="Q161" s="3">
        <f t="shared" si="43"/>
        <v>1934951233561.6438</v>
      </c>
      <c r="R161" s="3">
        <f t="shared" si="44"/>
        <v>1442517578082.1919</v>
      </c>
      <c r="S161" s="3">
        <f t="shared" si="45"/>
        <v>1934951233561.6438</v>
      </c>
      <c r="T161" s="3">
        <f t="shared" si="46"/>
        <v>1804326859835.6165</v>
      </c>
      <c r="U161" s="3">
        <f t="shared" si="47"/>
        <v>3219870634086.5752</v>
      </c>
      <c r="V161" s="3">
        <f t="shared" si="48"/>
        <v>3549953133600.2739</v>
      </c>
      <c r="W161" s="3">
        <f t="shared" si="49"/>
        <v>2434947408791.8955</v>
      </c>
      <c r="X161" s="3">
        <f t="shared" si="50"/>
        <v>888755804209041.88</v>
      </c>
      <c r="Y161" s="3">
        <f t="shared" si="51"/>
        <v>1041929772965614.6</v>
      </c>
      <c r="AK161">
        <v>6.2750399999999997</v>
      </c>
      <c r="AL161">
        <v>1000000</v>
      </c>
      <c r="AM161">
        <f t="shared" si="52"/>
        <v>6275040</v>
      </c>
      <c r="AN161">
        <v>4.5607100000000003</v>
      </c>
      <c r="AO161">
        <v>1000000</v>
      </c>
      <c r="AP161">
        <f t="shared" si="53"/>
        <v>4560710</v>
      </c>
    </row>
    <row r="162" spans="1:42" x14ac:dyDescent="0.4">
      <c r="A162">
        <v>151</v>
      </c>
      <c r="B162" s="2">
        <v>27792400</v>
      </c>
      <c r="C162" s="2">
        <v>79055600</v>
      </c>
      <c r="D162" s="2">
        <f>IF(B162&lt;2500000,2500000,B162)</f>
        <v>27792400</v>
      </c>
      <c r="E162" s="2">
        <v>29048400</v>
      </c>
      <c r="F162" s="2">
        <v>9148590</v>
      </c>
      <c r="G162" s="2">
        <v>10934000</v>
      </c>
      <c r="H162" s="2">
        <v>15681170.373840511</v>
      </c>
      <c r="I162" s="2">
        <f>155.29*(100000)</f>
        <v>15529000</v>
      </c>
      <c r="J162" s="2">
        <f t="shared" si="36"/>
        <v>12263400</v>
      </c>
      <c r="K162" s="2">
        <f t="shared" si="37"/>
        <v>63526600</v>
      </c>
      <c r="L162" s="2">
        <f t="shared" si="38"/>
        <v>12263400</v>
      </c>
      <c r="M162" s="2">
        <f t="shared" si="39"/>
        <v>13519400</v>
      </c>
      <c r="N162" s="2">
        <f t="shared" si="40"/>
        <v>6380410</v>
      </c>
      <c r="O162" s="2">
        <f t="shared" si="41"/>
        <v>4595000</v>
      </c>
      <c r="P162" s="2">
        <f t="shared" si="42"/>
        <v>152170.37384051085</v>
      </c>
      <c r="Q162" s="3">
        <f t="shared" si="43"/>
        <v>412030080986.30139</v>
      </c>
      <c r="R162" s="3">
        <f t="shared" si="44"/>
        <v>11056517554958.904</v>
      </c>
      <c r="S162" s="3">
        <f t="shared" si="45"/>
        <v>412030080986.30139</v>
      </c>
      <c r="T162" s="3">
        <f t="shared" si="46"/>
        <v>500751168109.58905</v>
      </c>
      <c r="U162" s="3">
        <f t="shared" si="47"/>
        <v>111533237720.82191</v>
      </c>
      <c r="V162" s="3">
        <f t="shared" si="48"/>
        <v>57846643835.61644</v>
      </c>
      <c r="W162" s="3">
        <f t="shared" si="49"/>
        <v>63440610.067837879</v>
      </c>
      <c r="X162" s="3">
        <f t="shared" si="50"/>
        <v>23155822674.760826</v>
      </c>
      <c r="Y162" s="3">
        <f t="shared" si="51"/>
        <v>52576087179313.195</v>
      </c>
      <c r="AK162">
        <v>9.1485900000000004</v>
      </c>
      <c r="AL162">
        <v>1000000</v>
      </c>
      <c r="AM162">
        <f t="shared" si="52"/>
        <v>9148590</v>
      </c>
      <c r="AN162">
        <v>10.933999999999999</v>
      </c>
      <c r="AO162">
        <v>1000000</v>
      </c>
      <c r="AP162">
        <f t="shared" si="53"/>
        <v>10934000</v>
      </c>
    </row>
    <row r="163" spans="1:42" x14ac:dyDescent="0.4">
      <c r="A163">
        <v>152</v>
      </c>
      <c r="B163" s="2">
        <v>27836700</v>
      </c>
      <c r="C163" s="2">
        <v>44496000</v>
      </c>
      <c r="D163" s="2">
        <f>IF(B163&lt;2500000,2500000,B163)</f>
        <v>27836700</v>
      </c>
      <c r="E163" s="2">
        <v>28792100</v>
      </c>
      <c r="F163" s="2">
        <v>8601400</v>
      </c>
      <c r="G163" s="2">
        <v>6006450</v>
      </c>
      <c r="H163" s="2">
        <v>13444440.6911298</v>
      </c>
      <c r="I163" s="2">
        <f>139.3*(100000)</f>
        <v>13930000.000000002</v>
      </c>
      <c r="J163" s="2">
        <f t="shared" si="36"/>
        <v>13906699.999999998</v>
      </c>
      <c r="K163" s="2">
        <f t="shared" si="37"/>
        <v>30566000</v>
      </c>
      <c r="L163" s="2">
        <f t="shared" si="38"/>
        <v>13906699.999999998</v>
      </c>
      <c r="M163" s="2">
        <f t="shared" si="39"/>
        <v>14862099.999999998</v>
      </c>
      <c r="N163" s="2">
        <f t="shared" si="40"/>
        <v>5328600.0000000019</v>
      </c>
      <c r="O163" s="2">
        <f t="shared" si="41"/>
        <v>7923550.0000000019</v>
      </c>
      <c r="P163" s="2">
        <f t="shared" si="42"/>
        <v>485559.30887020193</v>
      </c>
      <c r="Q163" s="3">
        <f t="shared" si="43"/>
        <v>529852890109.58887</v>
      </c>
      <c r="R163" s="3">
        <f t="shared" si="44"/>
        <v>2559672208219.1782</v>
      </c>
      <c r="S163" s="3">
        <f t="shared" si="45"/>
        <v>529852890109.58887</v>
      </c>
      <c r="T163" s="3">
        <f t="shared" si="46"/>
        <v>605156209342.46558</v>
      </c>
      <c r="U163" s="3">
        <f t="shared" si="47"/>
        <v>77791720438.356216</v>
      </c>
      <c r="V163" s="3">
        <f t="shared" si="48"/>
        <v>172007245486.30145</v>
      </c>
      <c r="W163" s="3">
        <f t="shared" si="49"/>
        <v>645939294.33015931</v>
      </c>
      <c r="X163" s="3">
        <f t="shared" si="50"/>
        <v>235767842430.50815</v>
      </c>
      <c r="Y163" s="3">
        <f t="shared" si="51"/>
        <v>31944391697121.434</v>
      </c>
      <c r="AK163">
        <v>8.6013999999999999</v>
      </c>
      <c r="AL163">
        <v>1000000</v>
      </c>
      <c r="AM163">
        <f t="shared" si="52"/>
        <v>8601400</v>
      </c>
      <c r="AN163">
        <v>6.0064500000000001</v>
      </c>
      <c r="AO163">
        <v>1000000</v>
      </c>
      <c r="AP163">
        <f t="shared" si="53"/>
        <v>6006450</v>
      </c>
    </row>
    <row r="164" spans="1:42" x14ac:dyDescent="0.4">
      <c r="A164">
        <v>153</v>
      </c>
      <c r="B164" s="2">
        <v>25852700</v>
      </c>
      <c r="C164" s="2">
        <v>21530800</v>
      </c>
      <c r="D164" s="2">
        <f>IF(B164&lt;2500000,2500000,B164)</f>
        <v>25852700</v>
      </c>
      <c r="E164" s="2">
        <v>26444400</v>
      </c>
      <c r="F164" s="2">
        <v>7643650</v>
      </c>
      <c r="G164" s="2">
        <v>9864070</v>
      </c>
      <c r="H164" s="2">
        <v>10672049.346403999</v>
      </c>
      <c r="I164" s="2">
        <f>113.55*(100000)</f>
        <v>11355000</v>
      </c>
      <c r="J164" s="2">
        <f t="shared" si="36"/>
        <v>14497700</v>
      </c>
      <c r="K164" s="2">
        <f t="shared" si="37"/>
        <v>10175800</v>
      </c>
      <c r="L164" s="2">
        <f t="shared" si="38"/>
        <v>14497700</v>
      </c>
      <c r="M164" s="2">
        <f t="shared" si="39"/>
        <v>15089400</v>
      </c>
      <c r="N164" s="2">
        <f t="shared" si="40"/>
        <v>3711350</v>
      </c>
      <c r="O164" s="2">
        <f t="shared" si="41"/>
        <v>1490930</v>
      </c>
      <c r="P164" s="2">
        <f t="shared" si="42"/>
        <v>682950.65359600075</v>
      </c>
      <c r="Q164" s="3">
        <f t="shared" si="43"/>
        <v>575844672027.39722</v>
      </c>
      <c r="R164" s="3">
        <f t="shared" si="44"/>
        <v>283690152438.35614</v>
      </c>
      <c r="S164" s="3">
        <f t="shared" si="45"/>
        <v>575844672027.39722</v>
      </c>
      <c r="T164" s="3">
        <f t="shared" si="46"/>
        <v>623808198246.57532</v>
      </c>
      <c r="U164" s="3">
        <f t="shared" si="47"/>
        <v>37737311842.465752</v>
      </c>
      <c r="V164" s="3">
        <f t="shared" si="48"/>
        <v>6090060999.7260275</v>
      </c>
      <c r="W164" s="3">
        <f t="shared" si="49"/>
        <v>1277867384.2389166</v>
      </c>
      <c r="X164" s="3">
        <f t="shared" si="50"/>
        <v>466421595247.20459</v>
      </c>
      <c r="Y164" s="3">
        <f t="shared" si="51"/>
        <v>9467541217669.3574</v>
      </c>
      <c r="AK164">
        <v>7.6436500000000001</v>
      </c>
      <c r="AL164">
        <v>1000000</v>
      </c>
      <c r="AM164">
        <f t="shared" si="52"/>
        <v>7643650</v>
      </c>
      <c r="AN164">
        <v>9.8640699999999999</v>
      </c>
      <c r="AO164">
        <v>1000000</v>
      </c>
      <c r="AP164">
        <f t="shared" si="53"/>
        <v>9864070</v>
      </c>
    </row>
    <row r="165" spans="1:42" x14ac:dyDescent="0.4">
      <c r="A165">
        <v>154</v>
      </c>
      <c r="B165" s="2">
        <v>22121700</v>
      </c>
      <c r="C165" s="2">
        <v>12931100</v>
      </c>
      <c r="D165" s="2">
        <f>IF(B165&lt;2500000,2500000,B165)</f>
        <v>22121700</v>
      </c>
      <c r="E165" s="2">
        <v>22374500</v>
      </c>
      <c r="F165" s="2">
        <v>6548560</v>
      </c>
      <c r="G165" s="2">
        <v>4581530</v>
      </c>
      <c r="H165" s="2">
        <v>9614937.2157762963</v>
      </c>
      <c r="I165" s="2">
        <f>86.25*(100000)</f>
        <v>8625000</v>
      </c>
      <c r="J165" s="2">
        <f t="shared" si="36"/>
        <v>13496700</v>
      </c>
      <c r="K165" s="2">
        <f t="shared" si="37"/>
        <v>4306100</v>
      </c>
      <c r="L165" s="2">
        <f t="shared" si="38"/>
        <v>13496700</v>
      </c>
      <c r="M165" s="2">
        <f t="shared" si="39"/>
        <v>13749500</v>
      </c>
      <c r="N165" s="2">
        <f t="shared" si="40"/>
        <v>2076440</v>
      </c>
      <c r="O165" s="2">
        <f t="shared" si="41"/>
        <v>4043470</v>
      </c>
      <c r="P165" s="2">
        <f t="shared" si="42"/>
        <v>989937.21577629633</v>
      </c>
      <c r="Q165" s="3">
        <f t="shared" si="43"/>
        <v>499070988739.72601</v>
      </c>
      <c r="R165" s="3">
        <f t="shared" si="44"/>
        <v>50801362219.178085</v>
      </c>
      <c r="S165" s="3">
        <f t="shared" si="45"/>
        <v>499070988739.72601</v>
      </c>
      <c r="T165" s="3">
        <f t="shared" si="46"/>
        <v>517941781506.8493</v>
      </c>
      <c r="U165" s="3">
        <f t="shared" si="47"/>
        <v>11812611160.547945</v>
      </c>
      <c r="V165" s="3">
        <f t="shared" si="48"/>
        <v>44793560660</v>
      </c>
      <c r="W165" s="3">
        <f t="shared" si="49"/>
        <v>2684864907.3395219</v>
      </c>
      <c r="X165" s="3">
        <f t="shared" si="50"/>
        <v>979975691178.92554</v>
      </c>
      <c r="Y165" s="3">
        <f t="shared" si="51"/>
        <v>120365272463.87697</v>
      </c>
      <c r="AK165">
        <v>6.5485600000000002</v>
      </c>
      <c r="AL165">
        <v>1000000</v>
      </c>
      <c r="AM165">
        <f t="shared" si="52"/>
        <v>6548560</v>
      </c>
      <c r="AN165">
        <v>4.5815299999999999</v>
      </c>
      <c r="AO165">
        <v>1000000</v>
      </c>
      <c r="AP165">
        <f t="shared" si="53"/>
        <v>4581530</v>
      </c>
    </row>
    <row r="166" spans="1:42" x14ac:dyDescent="0.4">
      <c r="A166">
        <v>155</v>
      </c>
      <c r="B166" s="2">
        <v>18415700</v>
      </c>
      <c r="C166" s="2">
        <v>3760260</v>
      </c>
      <c r="D166" s="2">
        <f>IF(B166&lt;2500000,2500000,B166)</f>
        <v>18415700</v>
      </c>
      <c r="E166" s="2">
        <v>18419300</v>
      </c>
      <c r="F166" s="2">
        <v>5651610</v>
      </c>
      <c r="G166" s="2">
        <v>8467440</v>
      </c>
      <c r="H166" s="2">
        <v>8685734.5606927071</v>
      </c>
      <c r="I166" s="2">
        <f>74.52*(100000)</f>
        <v>7452000</v>
      </c>
      <c r="J166" s="2">
        <f t="shared" si="36"/>
        <v>10963700</v>
      </c>
      <c r="K166" s="2">
        <f t="shared" si="37"/>
        <v>3691740</v>
      </c>
      <c r="L166" s="2">
        <f t="shared" si="38"/>
        <v>10963700</v>
      </c>
      <c r="M166" s="2">
        <f t="shared" si="39"/>
        <v>10967300</v>
      </c>
      <c r="N166" s="2">
        <f t="shared" si="40"/>
        <v>1800390</v>
      </c>
      <c r="O166" s="2">
        <f t="shared" si="41"/>
        <v>1015440</v>
      </c>
      <c r="P166" s="2">
        <f t="shared" si="42"/>
        <v>1233734.5606927071</v>
      </c>
      <c r="Q166" s="3">
        <f t="shared" si="43"/>
        <v>329322514219.1781</v>
      </c>
      <c r="R166" s="3">
        <f t="shared" si="44"/>
        <v>37339573226.301369</v>
      </c>
      <c r="S166" s="3">
        <f t="shared" si="45"/>
        <v>329322514219.1781</v>
      </c>
      <c r="T166" s="3">
        <f t="shared" si="46"/>
        <v>329538819972.60272</v>
      </c>
      <c r="U166" s="3">
        <f t="shared" si="47"/>
        <v>8880559320.8219185</v>
      </c>
      <c r="V166" s="3">
        <f t="shared" si="48"/>
        <v>2824981900.2739725</v>
      </c>
      <c r="W166" s="3">
        <f t="shared" si="49"/>
        <v>4170139633.5551424</v>
      </c>
      <c r="X166" s="3">
        <f t="shared" si="50"/>
        <v>1522100966247.627</v>
      </c>
      <c r="Y166" s="3">
        <f t="shared" si="51"/>
        <v>682380102600.86304</v>
      </c>
      <c r="AK166">
        <v>5.6516099999999998</v>
      </c>
      <c r="AL166">
        <v>1000000</v>
      </c>
      <c r="AM166">
        <f t="shared" si="52"/>
        <v>5651610</v>
      </c>
      <c r="AN166">
        <v>8.4674399999999999</v>
      </c>
      <c r="AO166">
        <v>1000000</v>
      </c>
      <c r="AP166">
        <f t="shared" si="53"/>
        <v>8467440</v>
      </c>
    </row>
    <row r="167" spans="1:42" x14ac:dyDescent="0.4">
      <c r="A167">
        <v>156</v>
      </c>
      <c r="B167" s="2">
        <v>15089800</v>
      </c>
      <c r="C167" s="2">
        <v>1745860</v>
      </c>
      <c r="D167" s="2">
        <f>IF(B167&lt;2500000,2500000,B167)</f>
        <v>15089800</v>
      </c>
      <c r="E167" s="2">
        <v>10515400</v>
      </c>
      <c r="F167" s="2">
        <v>4940210</v>
      </c>
      <c r="G167" s="2">
        <v>3519060</v>
      </c>
      <c r="H167" s="2">
        <v>7788445.9220007788</v>
      </c>
      <c r="I167" s="2">
        <f>102.41*(100000)</f>
        <v>10241000</v>
      </c>
      <c r="J167" s="2">
        <f t="shared" si="36"/>
        <v>4848800</v>
      </c>
      <c r="K167" s="2">
        <f t="shared" si="37"/>
        <v>8495140</v>
      </c>
      <c r="L167" s="2">
        <f t="shared" si="38"/>
        <v>4848800</v>
      </c>
      <c r="M167" s="2">
        <f t="shared" si="39"/>
        <v>274400</v>
      </c>
      <c r="N167" s="2">
        <f t="shared" si="40"/>
        <v>5300790</v>
      </c>
      <c r="O167" s="2">
        <f t="shared" si="41"/>
        <v>6721940</v>
      </c>
      <c r="P167" s="2">
        <f t="shared" si="42"/>
        <v>2452554.0779992212</v>
      </c>
      <c r="Q167" s="3">
        <f t="shared" si="43"/>
        <v>64413319013.698631</v>
      </c>
      <c r="R167" s="3">
        <f t="shared" si="44"/>
        <v>197718914026.30136</v>
      </c>
      <c r="S167" s="3">
        <f t="shared" si="45"/>
        <v>64413319013.698631</v>
      </c>
      <c r="T167" s="3">
        <f t="shared" si="46"/>
        <v>206288657.53424656</v>
      </c>
      <c r="U167" s="3">
        <f t="shared" si="47"/>
        <v>76981848285.205475</v>
      </c>
      <c r="V167" s="3">
        <f t="shared" si="48"/>
        <v>123793088667.39726</v>
      </c>
      <c r="W167" s="3">
        <f t="shared" si="49"/>
        <v>16479510974.001669</v>
      </c>
      <c r="X167" s="3">
        <f t="shared" si="50"/>
        <v>6015021505510.6094</v>
      </c>
      <c r="Y167" s="3">
        <f t="shared" si="51"/>
        <v>3853121612189.9048</v>
      </c>
      <c r="AK167">
        <v>4.9402100000000004</v>
      </c>
      <c r="AL167">
        <v>1000000</v>
      </c>
      <c r="AM167">
        <f t="shared" si="52"/>
        <v>4940210</v>
      </c>
      <c r="AN167">
        <v>3.5190600000000001</v>
      </c>
      <c r="AO167">
        <v>1000000</v>
      </c>
      <c r="AP167">
        <f t="shared" si="53"/>
        <v>3519060</v>
      </c>
    </row>
    <row r="168" spans="1:42" x14ac:dyDescent="0.4">
      <c r="A168">
        <v>157</v>
      </c>
      <c r="B168" s="2">
        <v>15541600</v>
      </c>
      <c r="C168" s="2">
        <v>38051900</v>
      </c>
      <c r="D168" s="2">
        <f>IF(B168&lt;2500000,2500000,B168)</f>
        <v>15541600</v>
      </c>
      <c r="E168" s="2">
        <v>20751700</v>
      </c>
      <c r="F168" s="2">
        <v>7066250</v>
      </c>
      <c r="G168" s="2">
        <v>4974660</v>
      </c>
      <c r="H168" s="2">
        <v>11634151.33979601</v>
      </c>
      <c r="I168" s="2">
        <f>100.19*(100000)</f>
        <v>10019000</v>
      </c>
      <c r="J168" s="2">
        <f t="shared" si="36"/>
        <v>5522600</v>
      </c>
      <c r="K168" s="2">
        <f t="shared" si="37"/>
        <v>28032900</v>
      </c>
      <c r="L168" s="2">
        <f t="shared" si="38"/>
        <v>5522600</v>
      </c>
      <c r="M168" s="2">
        <f t="shared" si="39"/>
        <v>10732700</v>
      </c>
      <c r="N168" s="2">
        <f t="shared" si="40"/>
        <v>2952750</v>
      </c>
      <c r="O168" s="2">
        <f t="shared" si="41"/>
        <v>5044340</v>
      </c>
      <c r="P168" s="2">
        <f t="shared" si="42"/>
        <v>1615151.3397960104</v>
      </c>
      <c r="Q168" s="3">
        <f t="shared" si="43"/>
        <v>83559207561.643829</v>
      </c>
      <c r="R168" s="3">
        <f t="shared" si="44"/>
        <v>2152995842219.178</v>
      </c>
      <c r="S168" s="3">
        <f t="shared" si="45"/>
        <v>83559207561.643829</v>
      </c>
      <c r="T168" s="3">
        <f t="shared" si="46"/>
        <v>315591367917.80823</v>
      </c>
      <c r="U168" s="3">
        <f t="shared" si="47"/>
        <v>23886938527.397259</v>
      </c>
      <c r="V168" s="3">
        <f t="shared" si="48"/>
        <v>69713331604.38356</v>
      </c>
      <c r="W168" s="3">
        <f t="shared" si="49"/>
        <v>7147161234.0954733</v>
      </c>
      <c r="X168" s="3">
        <f t="shared" si="50"/>
        <v>2608713850444.8477</v>
      </c>
      <c r="Y168" s="3">
        <f t="shared" si="51"/>
        <v>3030861590272.0962</v>
      </c>
      <c r="AK168">
        <v>7.0662500000000001</v>
      </c>
      <c r="AL168">
        <v>1000000</v>
      </c>
      <c r="AM168">
        <f t="shared" si="52"/>
        <v>7066250</v>
      </c>
      <c r="AN168">
        <v>4.9746600000000001</v>
      </c>
      <c r="AO168">
        <v>1000000</v>
      </c>
      <c r="AP168">
        <f t="shared" si="53"/>
        <v>4974660</v>
      </c>
    </row>
    <row r="169" spans="1:42" x14ac:dyDescent="0.4">
      <c r="A169">
        <v>158</v>
      </c>
      <c r="B169" s="2">
        <v>17262400</v>
      </c>
      <c r="C169" s="2">
        <v>14834200</v>
      </c>
      <c r="D169" s="2">
        <f>IF(B169&lt;2500000,2500000,B169)</f>
        <v>17262400</v>
      </c>
      <c r="E169" s="2">
        <v>17275500</v>
      </c>
      <c r="F169" s="2">
        <v>6067950</v>
      </c>
      <c r="G169" s="2">
        <v>8872100</v>
      </c>
      <c r="H169" s="2">
        <v>8482330.8617463745</v>
      </c>
      <c r="I169" s="2">
        <f>158.38*(100000)</f>
        <v>15838000</v>
      </c>
      <c r="J169" s="2">
        <f t="shared" si="36"/>
        <v>1424400</v>
      </c>
      <c r="K169" s="2">
        <f t="shared" si="37"/>
        <v>1003800</v>
      </c>
      <c r="L169" s="2">
        <f t="shared" si="38"/>
        <v>1424400</v>
      </c>
      <c r="M169" s="2">
        <f t="shared" si="39"/>
        <v>1437500</v>
      </c>
      <c r="N169" s="2">
        <f t="shared" si="40"/>
        <v>9770050</v>
      </c>
      <c r="O169" s="2">
        <f t="shared" si="41"/>
        <v>6965900</v>
      </c>
      <c r="P169" s="2">
        <f t="shared" si="42"/>
        <v>7355669.1382536255</v>
      </c>
      <c r="Q169" s="3">
        <f t="shared" si="43"/>
        <v>5558672219.1780825</v>
      </c>
      <c r="R169" s="3">
        <f t="shared" si="44"/>
        <v>2760587506.8493152</v>
      </c>
      <c r="S169" s="3">
        <f t="shared" si="45"/>
        <v>5558672219.1780825</v>
      </c>
      <c r="T169" s="3">
        <f t="shared" si="46"/>
        <v>5661386986.3013697</v>
      </c>
      <c r="U169" s="3">
        <f t="shared" si="47"/>
        <v>261517471239.72601</v>
      </c>
      <c r="V169" s="3">
        <f t="shared" si="48"/>
        <v>132941815917.80821</v>
      </c>
      <c r="W169" s="3">
        <f t="shared" si="49"/>
        <v>148235256086.18311</v>
      </c>
      <c r="X169" s="3">
        <f t="shared" si="50"/>
        <v>54105868471456.836</v>
      </c>
      <c r="Y169" s="3">
        <f t="shared" si="51"/>
        <v>57152647236847.438</v>
      </c>
      <c r="AK169">
        <v>6.0679499999999997</v>
      </c>
      <c r="AL169">
        <v>1000000</v>
      </c>
      <c r="AM169">
        <f t="shared" si="52"/>
        <v>6067950</v>
      </c>
      <c r="AN169">
        <v>8.8720999999999997</v>
      </c>
      <c r="AO169">
        <v>1000000</v>
      </c>
      <c r="AP169">
        <f t="shared" si="53"/>
        <v>8872100</v>
      </c>
    </row>
    <row r="170" spans="1:42" x14ac:dyDescent="0.4">
      <c r="A170">
        <v>159</v>
      </c>
      <c r="B170" s="2">
        <v>23507100</v>
      </c>
      <c r="C170" s="2">
        <v>45926300</v>
      </c>
      <c r="D170" s="2">
        <f>IF(B170&lt;2500000,2500000,B170)</f>
        <v>23507100</v>
      </c>
      <c r="E170" s="2">
        <v>19606300</v>
      </c>
      <c r="F170" s="2">
        <v>8212830</v>
      </c>
      <c r="G170" s="2">
        <v>5740380</v>
      </c>
      <c r="H170" s="2">
        <v>29473760.779267311</v>
      </c>
      <c r="I170" s="2">
        <f>194.83*(100000)</f>
        <v>19483000</v>
      </c>
      <c r="J170" s="2">
        <f t="shared" si="36"/>
        <v>4024100</v>
      </c>
      <c r="K170" s="2">
        <f t="shared" si="37"/>
        <v>26443300</v>
      </c>
      <c r="L170" s="2">
        <f t="shared" si="38"/>
        <v>4024100</v>
      </c>
      <c r="M170" s="2">
        <f t="shared" si="39"/>
        <v>123300</v>
      </c>
      <c r="N170" s="2">
        <f t="shared" si="40"/>
        <v>11270170</v>
      </c>
      <c r="O170" s="2">
        <f t="shared" si="41"/>
        <v>13742620</v>
      </c>
      <c r="P170" s="2">
        <f t="shared" si="42"/>
        <v>9990760.7792673111</v>
      </c>
      <c r="Q170" s="3">
        <f t="shared" si="43"/>
        <v>44365426876.712326</v>
      </c>
      <c r="R170" s="3">
        <f t="shared" si="44"/>
        <v>1915748259972.6028</v>
      </c>
      <c r="S170" s="3">
        <f t="shared" si="45"/>
        <v>44365426876.712326</v>
      </c>
      <c r="T170" s="3">
        <f t="shared" si="46"/>
        <v>41651753.424657531</v>
      </c>
      <c r="U170" s="3">
        <f t="shared" si="47"/>
        <v>347991046106.57532</v>
      </c>
      <c r="V170" s="3">
        <f t="shared" si="48"/>
        <v>517423573875.06848</v>
      </c>
      <c r="W170" s="3">
        <f t="shared" si="49"/>
        <v>273466577941.22183</v>
      </c>
      <c r="X170" s="3">
        <f t="shared" si="50"/>
        <v>99815300948545.969</v>
      </c>
      <c r="Y170" s="3">
        <f t="shared" si="51"/>
        <v>125550612866984.42</v>
      </c>
      <c r="AK170">
        <v>8.2128300000000003</v>
      </c>
      <c r="AL170">
        <v>1000000</v>
      </c>
      <c r="AM170">
        <f t="shared" si="52"/>
        <v>8212830</v>
      </c>
      <c r="AN170">
        <v>5.74038</v>
      </c>
      <c r="AO170">
        <v>1000000</v>
      </c>
      <c r="AP170">
        <f t="shared" si="53"/>
        <v>5740380</v>
      </c>
    </row>
    <row r="171" spans="1:42" x14ac:dyDescent="0.4">
      <c r="A171">
        <v>160</v>
      </c>
      <c r="B171" s="2">
        <v>20130100</v>
      </c>
      <c r="C171" s="2">
        <v>18306100</v>
      </c>
      <c r="D171" s="2">
        <f>IF(B171&lt;2500000,2500000,B171)</f>
        <v>20130100</v>
      </c>
      <c r="E171" s="2">
        <v>20735200</v>
      </c>
      <c r="F171" s="2">
        <v>7033210</v>
      </c>
      <c r="G171" s="2">
        <v>9468020</v>
      </c>
      <c r="H171" s="2">
        <v>9082871.6833817195</v>
      </c>
      <c r="I171" s="2">
        <f>131.28*(100000)</f>
        <v>13128000</v>
      </c>
      <c r="J171" s="2">
        <f t="shared" si="36"/>
        <v>7002100</v>
      </c>
      <c r="K171" s="2">
        <f t="shared" si="37"/>
        <v>5178100</v>
      </c>
      <c r="L171" s="2">
        <f t="shared" si="38"/>
        <v>7002100</v>
      </c>
      <c r="M171" s="2">
        <f t="shared" si="39"/>
        <v>7607200</v>
      </c>
      <c r="N171" s="2">
        <f t="shared" si="40"/>
        <v>6094790</v>
      </c>
      <c r="O171" s="2">
        <f t="shared" si="41"/>
        <v>3659980</v>
      </c>
      <c r="P171" s="2">
        <f t="shared" si="42"/>
        <v>4045128.3166182805</v>
      </c>
      <c r="Q171" s="3">
        <f t="shared" si="43"/>
        <v>134327135369.86301</v>
      </c>
      <c r="R171" s="3">
        <f t="shared" si="44"/>
        <v>73459505780.821915</v>
      </c>
      <c r="S171" s="3">
        <f t="shared" si="45"/>
        <v>134327135369.86301</v>
      </c>
      <c r="T171" s="3">
        <f t="shared" si="46"/>
        <v>158546552986.30136</v>
      </c>
      <c r="U171" s="3">
        <f t="shared" si="47"/>
        <v>101771137381.09589</v>
      </c>
      <c r="V171" s="3">
        <f t="shared" si="48"/>
        <v>36699872877.80822</v>
      </c>
      <c r="W171" s="3">
        <f t="shared" si="49"/>
        <v>44830309857.279572</v>
      </c>
      <c r="X171" s="3">
        <f t="shared" si="50"/>
        <v>16363063097907.043</v>
      </c>
      <c r="Y171" s="3">
        <f t="shared" si="51"/>
        <v>23521888771094.016</v>
      </c>
      <c r="AK171">
        <v>7.0332100000000004</v>
      </c>
      <c r="AL171">
        <v>1000000</v>
      </c>
      <c r="AM171">
        <f t="shared" si="52"/>
        <v>7033210</v>
      </c>
      <c r="AN171">
        <v>9.4680199999999992</v>
      </c>
      <c r="AO171">
        <v>1000000</v>
      </c>
      <c r="AP171">
        <f t="shared" si="53"/>
        <v>9468020</v>
      </c>
    </row>
    <row r="172" spans="1:42" x14ac:dyDescent="0.4">
      <c r="A172">
        <v>161</v>
      </c>
      <c r="B172" s="2">
        <v>18042400</v>
      </c>
      <c r="C172" s="2">
        <v>8660350</v>
      </c>
      <c r="D172" s="2">
        <f>IF(B172&lt;2500000,2500000,B172)</f>
        <v>18042400</v>
      </c>
      <c r="E172" s="2">
        <v>18378600</v>
      </c>
      <c r="F172" s="2">
        <v>6211900</v>
      </c>
      <c r="G172" s="2">
        <v>4379800</v>
      </c>
      <c r="H172" s="2">
        <v>8580406.9223069362</v>
      </c>
      <c r="I172" s="2">
        <f>84.96*(100000)</f>
        <v>8496000</v>
      </c>
      <c r="J172" s="2">
        <f t="shared" si="36"/>
        <v>9546400</v>
      </c>
      <c r="K172" s="2">
        <f t="shared" si="37"/>
        <v>164350</v>
      </c>
      <c r="L172" s="2">
        <f t="shared" si="38"/>
        <v>9546400</v>
      </c>
      <c r="M172" s="2">
        <f t="shared" si="39"/>
        <v>9882600</v>
      </c>
      <c r="N172" s="2">
        <f t="shared" si="40"/>
        <v>2284100</v>
      </c>
      <c r="O172" s="2">
        <f t="shared" si="41"/>
        <v>4116200</v>
      </c>
      <c r="P172" s="2">
        <f t="shared" si="42"/>
        <v>84406.922306936234</v>
      </c>
      <c r="Q172" s="3">
        <f t="shared" si="43"/>
        <v>249681514958.90411</v>
      </c>
      <c r="R172" s="3">
        <f t="shared" si="44"/>
        <v>74002527.397260278</v>
      </c>
      <c r="S172" s="3">
        <f t="shared" si="45"/>
        <v>249681514958.90411</v>
      </c>
      <c r="T172" s="3">
        <f t="shared" si="46"/>
        <v>267577487013.69864</v>
      </c>
      <c r="U172" s="3">
        <f t="shared" si="47"/>
        <v>14293459753.424658</v>
      </c>
      <c r="V172" s="3">
        <f t="shared" si="48"/>
        <v>46419458739.726028</v>
      </c>
      <c r="W172" s="3">
        <f t="shared" si="49"/>
        <v>19519256.255696353</v>
      </c>
      <c r="X172" s="3">
        <f t="shared" si="50"/>
        <v>7124528533.3291693</v>
      </c>
      <c r="Y172" s="3">
        <f t="shared" si="51"/>
        <v>47496529998.12352</v>
      </c>
      <c r="AK172">
        <v>6.2119</v>
      </c>
      <c r="AL172">
        <v>1000000</v>
      </c>
      <c r="AM172">
        <f t="shared" si="52"/>
        <v>6211900</v>
      </c>
      <c r="AN172">
        <v>4.3798000000000004</v>
      </c>
      <c r="AO172">
        <v>1000000</v>
      </c>
      <c r="AP172">
        <f t="shared" si="53"/>
        <v>4379800</v>
      </c>
    </row>
    <row r="173" spans="1:42" x14ac:dyDescent="0.4">
      <c r="A173">
        <v>162</v>
      </c>
      <c r="B173" s="2">
        <v>15106100</v>
      </c>
      <c r="C173" s="2">
        <v>3615700</v>
      </c>
      <c r="D173" s="2">
        <f>IF(B173&lt;2500000,2500000,B173)</f>
        <v>15106100</v>
      </c>
      <c r="E173" s="2">
        <v>15216000</v>
      </c>
      <c r="F173" s="2">
        <v>5400660</v>
      </c>
      <c r="G173" s="2">
        <v>8338400</v>
      </c>
      <c r="H173" s="2">
        <v>7705354.9221250089</v>
      </c>
      <c r="I173" s="2">
        <f>68.54*(100000)</f>
        <v>6854000.0000000009</v>
      </c>
      <c r="J173" s="2">
        <f t="shared" si="36"/>
        <v>8252099.9999999991</v>
      </c>
      <c r="K173" s="2">
        <f t="shared" si="37"/>
        <v>3238300.0000000009</v>
      </c>
      <c r="L173" s="2">
        <f t="shared" si="38"/>
        <v>8252099.9999999991</v>
      </c>
      <c r="M173" s="2">
        <f t="shared" si="39"/>
        <v>8361999.9999999991</v>
      </c>
      <c r="N173" s="2">
        <f t="shared" si="40"/>
        <v>1453340.0000000009</v>
      </c>
      <c r="O173" s="2">
        <f t="shared" si="41"/>
        <v>1484399.9999999991</v>
      </c>
      <c r="P173" s="2">
        <f t="shared" si="42"/>
        <v>851354.92212500796</v>
      </c>
      <c r="Q173" s="3">
        <f t="shared" si="43"/>
        <v>186567546328.76709</v>
      </c>
      <c r="R173" s="3">
        <f t="shared" si="44"/>
        <v>28730375041.095905</v>
      </c>
      <c r="S173" s="3">
        <f t="shared" si="45"/>
        <v>186567546328.76709</v>
      </c>
      <c r="T173" s="3">
        <f t="shared" si="46"/>
        <v>191569983561.6438</v>
      </c>
      <c r="U173" s="3">
        <f t="shared" si="47"/>
        <v>5786841522.1917877</v>
      </c>
      <c r="V173" s="3">
        <f t="shared" si="48"/>
        <v>6036831123.2876635</v>
      </c>
      <c r="W173" s="3">
        <f t="shared" si="49"/>
        <v>1985767680.6204886</v>
      </c>
      <c r="X173" s="3">
        <f t="shared" si="50"/>
        <v>724805203426.47839</v>
      </c>
      <c r="Y173" s="3">
        <f t="shared" si="51"/>
        <v>2027955466984.4219</v>
      </c>
      <c r="AK173">
        <v>5.4006600000000002</v>
      </c>
      <c r="AL173">
        <v>1000000</v>
      </c>
      <c r="AM173">
        <f t="shared" si="52"/>
        <v>5400660</v>
      </c>
      <c r="AN173">
        <v>8.3384</v>
      </c>
      <c r="AO173">
        <v>1000000</v>
      </c>
      <c r="AP173">
        <f t="shared" si="53"/>
        <v>8338400</v>
      </c>
    </row>
    <row r="174" spans="1:42" x14ac:dyDescent="0.4">
      <c r="A174">
        <v>163</v>
      </c>
      <c r="B174" s="2">
        <v>8060810</v>
      </c>
      <c r="C174" s="2">
        <v>1639480</v>
      </c>
      <c r="D174" s="2">
        <f>IF(B174&lt;2500000,2500000,B174)</f>
        <v>8060810</v>
      </c>
      <c r="E174" s="2">
        <v>7987730</v>
      </c>
      <c r="F174" s="2">
        <v>4739330</v>
      </c>
      <c r="G174" s="2">
        <v>3422700</v>
      </c>
      <c r="H174" s="2">
        <v>7199843.6314515192</v>
      </c>
      <c r="I174" s="2">
        <f>63.31*(100000)</f>
        <v>6331000</v>
      </c>
      <c r="J174" s="2">
        <f t="shared" si="36"/>
        <v>1729810</v>
      </c>
      <c r="K174" s="2">
        <f t="shared" si="37"/>
        <v>4691520</v>
      </c>
      <c r="L174" s="2">
        <f t="shared" si="38"/>
        <v>1729810</v>
      </c>
      <c r="M174" s="2">
        <f t="shared" si="39"/>
        <v>1656730</v>
      </c>
      <c r="N174" s="2">
        <f t="shared" si="40"/>
        <v>1591670</v>
      </c>
      <c r="O174" s="2">
        <f t="shared" si="41"/>
        <v>2908300</v>
      </c>
      <c r="P174" s="2">
        <f t="shared" si="42"/>
        <v>868843.63145151921</v>
      </c>
      <c r="Q174" s="3">
        <f t="shared" si="43"/>
        <v>8197925030.4109592</v>
      </c>
      <c r="R174" s="3">
        <f t="shared" si="44"/>
        <v>60302355918.904106</v>
      </c>
      <c r="S174" s="3">
        <f t="shared" si="45"/>
        <v>8197925030.4109592</v>
      </c>
      <c r="T174" s="3">
        <f t="shared" si="46"/>
        <v>7519874775.0684929</v>
      </c>
      <c r="U174" s="3">
        <f t="shared" si="47"/>
        <v>6940858599.7260275</v>
      </c>
      <c r="V174" s="3">
        <f t="shared" si="48"/>
        <v>23173175041.09589</v>
      </c>
      <c r="W174" s="3">
        <f t="shared" si="49"/>
        <v>2068189742.2297623</v>
      </c>
      <c r="X174" s="3">
        <f t="shared" si="50"/>
        <v>754889255913.86328</v>
      </c>
      <c r="Y174" s="3">
        <f t="shared" si="51"/>
        <v>3791054379313.1914</v>
      </c>
      <c r="AK174">
        <v>4.7393299999999998</v>
      </c>
      <c r="AL174">
        <v>1000000</v>
      </c>
      <c r="AM174">
        <f t="shared" si="52"/>
        <v>4739330</v>
      </c>
      <c r="AN174">
        <v>3.4226999999999999</v>
      </c>
      <c r="AO174">
        <v>1000000</v>
      </c>
      <c r="AP174">
        <f t="shared" si="53"/>
        <v>3422700</v>
      </c>
    </row>
    <row r="175" spans="1:42" x14ac:dyDescent="0.4">
      <c r="A175">
        <v>164</v>
      </c>
      <c r="B175" s="2">
        <v>10536100</v>
      </c>
      <c r="C175" s="2">
        <v>772966</v>
      </c>
      <c r="D175" s="2">
        <f>IF(B175&lt;2500000,2500000,B175)</f>
        <v>10536100</v>
      </c>
      <c r="E175" s="2">
        <v>10364400</v>
      </c>
      <c r="F175" s="2">
        <v>4182270</v>
      </c>
      <c r="G175" s="2">
        <v>3070610</v>
      </c>
      <c r="H175" s="2">
        <v>6791349.2303810287</v>
      </c>
      <c r="I175" s="2">
        <f>55.9*(100000)</f>
        <v>5590000</v>
      </c>
      <c r="J175" s="2">
        <f t="shared" si="36"/>
        <v>4946100</v>
      </c>
      <c r="K175" s="2">
        <f t="shared" si="37"/>
        <v>4817034</v>
      </c>
      <c r="L175" s="2">
        <f t="shared" si="38"/>
        <v>4946100</v>
      </c>
      <c r="M175" s="2">
        <f t="shared" si="39"/>
        <v>4774400</v>
      </c>
      <c r="N175" s="2">
        <f t="shared" si="40"/>
        <v>1407730</v>
      </c>
      <c r="O175" s="2">
        <f t="shared" si="41"/>
        <v>2519390</v>
      </c>
      <c r="P175" s="2">
        <f t="shared" si="42"/>
        <v>1201349.2303810287</v>
      </c>
      <c r="Q175" s="3">
        <f t="shared" si="43"/>
        <v>67024397835.61644</v>
      </c>
      <c r="R175" s="3">
        <f t="shared" si="44"/>
        <v>63572100156.591782</v>
      </c>
      <c r="S175" s="3">
        <f t="shared" si="45"/>
        <v>67024397835.61644</v>
      </c>
      <c r="T175" s="3">
        <f t="shared" si="46"/>
        <v>62451768109.589043</v>
      </c>
      <c r="U175" s="3">
        <f t="shared" si="47"/>
        <v>5429325350.4109592</v>
      </c>
      <c r="V175" s="3">
        <f t="shared" si="48"/>
        <v>17389934170.136986</v>
      </c>
      <c r="W175" s="3">
        <f t="shared" si="49"/>
        <v>3954082118.7317538</v>
      </c>
      <c r="X175" s="3">
        <f t="shared" si="50"/>
        <v>1443239973337.0901</v>
      </c>
      <c r="Y175" s="3">
        <f t="shared" si="51"/>
        <v>7225682765614.5615</v>
      </c>
      <c r="AK175">
        <v>4.1822699999999999</v>
      </c>
      <c r="AL175">
        <v>1000000</v>
      </c>
      <c r="AM175">
        <f t="shared" si="52"/>
        <v>4182270</v>
      </c>
      <c r="AN175">
        <v>3.0706099999999998</v>
      </c>
      <c r="AO175">
        <v>1000000</v>
      </c>
      <c r="AP175">
        <f t="shared" si="53"/>
        <v>3070610</v>
      </c>
    </row>
    <row r="176" spans="1:42" x14ac:dyDescent="0.4">
      <c r="A176">
        <v>165</v>
      </c>
      <c r="B176" s="2">
        <v>4190060</v>
      </c>
      <c r="C176" s="2">
        <v>372651</v>
      </c>
      <c r="D176" s="2">
        <f>IF(B176&lt;2500000,2500000,B176)</f>
        <v>4190060</v>
      </c>
      <c r="E176" s="2">
        <v>3986820</v>
      </c>
      <c r="F176" s="2">
        <v>3700960</v>
      </c>
      <c r="G176" s="2">
        <v>7285350</v>
      </c>
      <c r="H176" s="2">
        <v>6392263.3420928484</v>
      </c>
      <c r="I176" s="2">
        <f>59.4*(100000)</f>
        <v>5940000</v>
      </c>
      <c r="J176" s="2">
        <f t="shared" si="36"/>
        <v>1749940</v>
      </c>
      <c r="K176" s="2">
        <f t="shared" si="37"/>
        <v>5567349</v>
      </c>
      <c r="L176" s="2">
        <f t="shared" si="38"/>
        <v>1749940</v>
      </c>
      <c r="M176" s="2">
        <f t="shared" si="39"/>
        <v>1953180</v>
      </c>
      <c r="N176" s="2">
        <f t="shared" si="40"/>
        <v>2239040</v>
      </c>
      <c r="O176" s="2">
        <f t="shared" si="41"/>
        <v>1345350</v>
      </c>
      <c r="P176" s="2">
        <f t="shared" si="42"/>
        <v>452263.34209284838</v>
      </c>
      <c r="Q176" s="3">
        <f t="shared" si="43"/>
        <v>8389835626.3013697</v>
      </c>
      <c r="R176" s="3">
        <f t="shared" si="44"/>
        <v>84918835309.043839</v>
      </c>
      <c r="S176" s="3">
        <f t="shared" si="45"/>
        <v>8389835626.3013697</v>
      </c>
      <c r="T176" s="3">
        <f t="shared" si="46"/>
        <v>10451814006.575342</v>
      </c>
      <c r="U176" s="3">
        <f t="shared" si="47"/>
        <v>13735068826.301371</v>
      </c>
      <c r="V176" s="3">
        <f t="shared" si="48"/>
        <v>4958812664.3835621</v>
      </c>
      <c r="W176" s="3">
        <f t="shared" si="49"/>
        <v>560389398.9068296</v>
      </c>
      <c r="X176" s="3">
        <f t="shared" si="50"/>
        <v>204542130600.9928</v>
      </c>
      <c r="Y176" s="3">
        <f t="shared" si="51"/>
        <v>5466538656025.5205</v>
      </c>
      <c r="AK176">
        <v>3.7009599999999998</v>
      </c>
      <c r="AL176">
        <v>1000000</v>
      </c>
      <c r="AM176">
        <f t="shared" si="52"/>
        <v>3700960</v>
      </c>
      <c r="AN176">
        <v>7.2853500000000002</v>
      </c>
      <c r="AO176">
        <v>1000000</v>
      </c>
      <c r="AP176">
        <f t="shared" si="53"/>
        <v>7285350</v>
      </c>
    </row>
    <row r="177" spans="1:42" x14ac:dyDescent="0.4">
      <c r="A177">
        <v>166</v>
      </c>
      <c r="B177" s="2">
        <v>8268430</v>
      </c>
      <c r="C177" s="2">
        <v>4645010</v>
      </c>
      <c r="D177" s="2">
        <f>IF(B177&lt;2500000,2500000,B177)</f>
        <v>8268430</v>
      </c>
      <c r="E177" s="2">
        <v>3606150</v>
      </c>
      <c r="F177" s="2">
        <v>3602430</v>
      </c>
      <c r="G177" s="2">
        <v>2713940</v>
      </c>
      <c r="H177" s="2">
        <v>6349538.78318136</v>
      </c>
      <c r="I177" s="2">
        <f>65.4*(100000)</f>
        <v>6540000.0000000009</v>
      </c>
      <c r="J177" s="2">
        <f t="shared" si="36"/>
        <v>1728429.9999999991</v>
      </c>
      <c r="K177" s="2">
        <f t="shared" si="37"/>
        <v>1894990.0000000009</v>
      </c>
      <c r="L177" s="2">
        <f t="shared" si="38"/>
        <v>1728429.9999999991</v>
      </c>
      <c r="M177" s="2">
        <f t="shared" si="39"/>
        <v>2933850.0000000009</v>
      </c>
      <c r="N177" s="2">
        <f t="shared" si="40"/>
        <v>2937570.0000000009</v>
      </c>
      <c r="O177" s="2">
        <f t="shared" si="41"/>
        <v>3826060.0000000009</v>
      </c>
      <c r="P177" s="2">
        <f t="shared" si="42"/>
        <v>190461.21681864094</v>
      </c>
      <c r="Q177" s="3">
        <f t="shared" si="43"/>
        <v>8184850040.821908</v>
      </c>
      <c r="R177" s="3">
        <f t="shared" si="44"/>
        <v>9838320822.1917896</v>
      </c>
      <c r="S177" s="3">
        <f t="shared" si="45"/>
        <v>8184850040.821908</v>
      </c>
      <c r="T177" s="3">
        <f t="shared" si="46"/>
        <v>23582125541.095905</v>
      </c>
      <c r="U177" s="3">
        <f t="shared" si="47"/>
        <v>23641965766.849331</v>
      </c>
      <c r="V177" s="3">
        <f t="shared" si="48"/>
        <v>40106123626.301392</v>
      </c>
      <c r="W177" s="3">
        <f t="shared" si="49"/>
        <v>99384863.32065028</v>
      </c>
      <c r="X177" s="3">
        <f t="shared" si="50"/>
        <v>36275475112.037354</v>
      </c>
      <c r="Y177" s="3">
        <f t="shared" si="51"/>
        <v>3020863039587.1611</v>
      </c>
      <c r="AK177">
        <v>3.60243</v>
      </c>
      <c r="AL177">
        <v>1000000</v>
      </c>
      <c r="AM177">
        <f t="shared" si="52"/>
        <v>3602430</v>
      </c>
      <c r="AN177">
        <v>2.71394</v>
      </c>
      <c r="AO177">
        <v>1000000</v>
      </c>
      <c r="AP177">
        <f t="shared" si="53"/>
        <v>2713940</v>
      </c>
    </row>
    <row r="178" spans="1:42" x14ac:dyDescent="0.4">
      <c r="A178">
        <v>167</v>
      </c>
      <c r="B178" s="2">
        <v>2931880</v>
      </c>
      <c r="C178" s="2">
        <v>1417050</v>
      </c>
      <c r="D178" s="2">
        <f>IF(B178&lt;2500000,2500000,B178)</f>
        <v>2931880</v>
      </c>
      <c r="E178" s="2">
        <v>7300190</v>
      </c>
      <c r="F178" s="2">
        <v>3152420</v>
      </c>
      <c r="G178" s="2">
        <v>2410820</v>
      </c>
      <c r="H178" s="2">
        <v>5904601.3889621729</v>
      </c>
      <c r="I178" s="2">
        <f>58.41*(100000)</f>
        <v>5841000</v>
      </c>
      <c r="J178" s="2">
        <f t="shared" si="36"/>
        <v>2909120</v>
      </c>
      <c r="K178" s="2">
        <f t="shared" si="37"/>
        <v>4423950</v>
      </c>
      <c r="L178" s="2">
        <f t="shared" si="38"/>
        <v>2909120</v>
      </c>
      <c r="M178" s="2">
        <f t="shared" si="39"/>
        <v>1459190</v>
      </c>
      <c r="N178" s="2">
        <f t="shared" si="40"/>
        <v>2688580</v>
      </c>
      <c r="O178" s="2">
        <f t="shared" si="41"/>
        <v>3430180</v>
      </c>
      <c r="P178" s="2">
        <f t="shared" si="42"/>
        <v>63601.388962172903</v>
      </c>
      <c r="Q178" s="3">
        <f t="shared" si="43"/>
        <v>23186244313.424656</v>
      </c>
      <c r="R178" s="3">
        <f t="shared" si="44"/>
        <v>53620092061.643837</v>
      </c>
      <c r="S178" s="3">
        <f t="shared" si="45"/>
        <v>23186244313.424656</v>
      </c>
      <c r="T178" s="3">
        <f t="shared" si="46"/>
        <v>5833521797.5342464</v>
      </c>
      <c r="U178" s="3">
        <f t="shared" si="47"/>
        <v>19804006620.273972</v>
      </c>
      <c r="V178" s="3">
        <f t="shared" si="48"/>
        <v>32235985842.19178</v>
      </c>
      <c r="W178" s="3">
        <f t="shared" si="49"/>
        <v>11082566.240870163</v>
      </c>
      <c r="X178" s="3">
        <f t="shared" si="50"/>
        <v>4045136677.9176092</v>
      </c>
      <c r="Y178" s="3">
        <f t="shared" si="51"/>
        <v>5939276132737.8486</v>
      </c>
      <c r="AK178">
        <v>3.1524200000000002</v>
      </c>
      <c r="AL178">
        <v>1000000</v>
      </c>
      <c r="AM178">
        <f t="shared" si="52"/>
        <v>3152420</v>
      </c>
      <c r="AN178">
        <v>2.4108200000000002</v>
      </c>
      <c r="AO178">
        <v>1000000</v>
      </c>
      <c r="AP178">
        <f t="shared" si="53"/>
        <v>2410820</v>
      </c>
    </row>
    <row r="179" spans="1:42" x14ac:dyDescent="0.4">
      <c r="A179">
        <v>168</v>
      </c>
      <c r="B179" s="2">
        <v>2144260</v>
      </c>
      <c r="C179" s="2">
        <v>611951</v>
      </c>
      <c r="D179" s="2">
        <f>IF(B179&lt;2500000,2500000,B179)</f>
        <v>2500000</v>
      </c>
      <c r="E179" s="2">
        <v>1936970</v>
      </c>
      <c r="F179" s="2">
        <v>2781830</v>
      </c>
      <c r="G179" s="2">
        <v>2167010</v>
      </c>
      <c r="H179" s="2">
        <v>5677054.4192982446</v>
      </c>
      <c r="I179" s="2">
        <f>55.07*(100000)</f>
        <v>5507000</v>
      </c>
      <c r="J179" s="2">
        <f t="shared" si="36"/>
        <v>3362740</v>
      </c>
      <c r="K179" s="2">
        <f t="shared" si="37"/>
        <v>4895049</v>
      </c>
      <c r="L179" s="2">
        <f t="shared" si="38"/>
        <v>3007000</v>
      </c>
      <c r="M179" s="2">
        <f t="shared" si="39"/>
        <v>3570030</v>
      </c>
      <c r="N179" s="2">
        <f t="shared" si="40"/>
        <v>2725170</v>
      </c>
      <c r="O179" s="2">
        <f t="shared" si="41"/>
        <v>3339990</v>
      </c>
      <c r="P179" s="2">
        <f t="shared" si="42"/>
        <v>170054.41929824464</v>
      </c>
      <c r="Q179" s="3">
        <f t="shared" si="43"/>
        <v>30980877555.068493</v>
      </c>
      <c r="R179" s="3">
        <f t="shared" si="44"/>
        <v>65647958116.167122</v>
      </c>
      <c r="S179" s="3">
        <f t="shared" si="45"/>
        <v>24772736986.301369</v>
      </c>
      <c r="T179" s="3">
        <f t="shared" si="46"/>
        <v>34918121098.356163</v>
      </c>
      <c r="U179" s="3">
        <f t="shared" si="47"/>
        <v>20346716517.534248</v>
      </c>
      <c r="V179" s="3">
        <f t="shared" si="48"/>
        <v>30563104657.80822</v>
      </c>
      <c r="W179" s="3">
        <f t="shared" si="49"/>
        <v>79228782.254419714</v>
      </c>
      <c r="X179" s="3">
        <f t="shared" si="50"/>
        <v>28918505522.863197</v>
      </c>
      <c r="Y179" s="3">
        <f t="shared" si="51"/>
        <v>7678790225888.5342</v>
      </c>
      <c r="AK179">
        <v>2.7818299999999998</v>
      </c>
      <c r="AL179">
        <v>1000000</v>
      </c>
      <c r="AM179">
        <f t="shared" si="52"/>
        <v>2781830</v>
      </c>
      <c r="AN179">
        <v>2.1670099999999999</v>
      </c>
      <c r="AO179">
        <v>1000000</v>
      </c>
      <c r="AP179">
        <f t="shared" si="53"/>
        <v>2167010</v>
      </c>
    </row>
    <row r="180" spans="1:42" x14ac:dyDescent="0.4">
      <c r="A180">
        <v>169</v>
      </c>
      <c r="B180" s="2">
        <v>6157480</v>
      </c>
      <c r="C180" s="2">
        <v>279758</v>
      </c>
      <c r="D180" s="2">
        <f>IF(B180&lt;2500000,2500000,B180)</f>
        <v>6157480</v>
      </c>
      <c r="E180" s="2">
        <v>1486090</v>
      </c>
      <c r="F180" s="2">
        <v>2465090</v>
      </c>
      <c r="G180" s="2">
        <v>6490450</v>
      </c>
      <c r="H180" s="2">
        <v>5472990.7293854263</v>
      </c>
      <c r="I180" s="2">
        <f>52.75*(100000)</f>
        <v>5275000</v>
      </c>
      <c r="J180" s="2">
        <f t="shared" si="36"/>
        <v>882480</v>
      </c>
      <c r="K180" s="2">
        <f t="shared" si="37"/>
        <v>4995242</v>
      </c>
      <c r="L180" s="2">
        <f t="shared" si="38"/>
        <v>882480</v>
      </c>
      <c r="M180" s="2">
        <f t="shared" si="39"/>
        <v>3788910</v>
      </c>
      <c r="N180" s="2">
        <f t="shared" si="40"/>
        <v>2809910</v>
      </c>
      <c r="O180" s="2">
        <f t="shared" si="41"/>
        <v>1215450</v>
      </c>
      <c r="P180" s="2">
        <f t="shared" si="42"/>
        <v>197990.72938542627</v>
      </c>
      <c r="Q180" s="3">
        <f t="shared" si="43"/>
        <v>2133619042.1917808</v>
      </c>
      <c r="R180" s="3">
        <f t="shared" si="44"/>
        <v>68362856544.010956</v>
      </c>
      <c r="S180" s="3">
        <f t="shared" si="45"/>
        <v>2133619042.1917808</v>
      </c>
      <c r="T180" s="3">
        <f t="shared" si="46"/>
        <v>39331065720.821915</v>
      </c>
      <c r="U180" s="3">
        <f t="shared" si="47"/>
        <v>21631764953.698631</v>
      </c>
      <c r="V180" s="3">
        <f t="shared" si="48"/>
        <v>4047448500</v>
      </c>
      <c r="W180" s="3">
        <f t="shared" si="49"/>
        <v>107398161.43170711</v>
      </c>
      <c r="X180" s="3">
        <f t="shared" si="50"/>
        <v>39200328922.573097</v>
      </c>
      <c r="Y180" s="3">
        <f t="shared" si="51"/>
        <v>9018387464244.6973</v>
      </c>
      <c r="AK180">
        <v>2.46509</v>
      </c>
      <c r="AL180">
        <v>1000000</v>
      </c>
      <c r="AM180">
        <f t="shared" si="52"/>
        <v>2465090</v>
      </c>
      <c r="AN180">
        <v>6.4904500000000001</v>
      </c>
      <c r="AO180">
        <v>1000000</v>
      </c>
      <c r="AP180">
        <f t="shared" si="53"/>
        <v>6490450</v>
      </c>
    </row>
    <row r="181" spans="1:42" x14ac:dyDescent="0.4">
      <c r="A181">
        <v>170</v>
      </c>
      <c r="B181" s="2">
        <v>1378880</v>
      </c>
      <c r="C181" s="2">
        <v>129665</v>
      </c>
      <c r="D181" s="2">
        <f>IF(B181&lt;2500000,2500000,B181)</f>
        <v>2500000</v>
      </c>
      <c r="E181" s="2">
        <v>1169850</v>
      </c>
      <c r="F181" s="2">
        <v>2178680</v>
      </c>
      <c r="G181" s="2">
        <v>1763070</v>
      </c>
      <c r="H181" s="2">
        <v>5294141.2502269512</v>
      </c>
      <c r="I181" s="2">
        <f>48.57*(100000)</f>
        <v>4857000</v>
      </c>
      <c r="J181" s="2">
        <f t="shared" si="36"/>
        <v>3478120</v>
      </c>
      <c r="K181" s="2">
        <f t="shared" si="37"/>
        <v>4727335</v>
      </c>
      <c r="L181" s="2">
        <f t="shared" si="38"/>
        <v>2357000</v>
      </c>
      <c r="M181" s="2">
        <f t="shared" si="39"/>
        <v>3687150</v>
      </c>
      <c r="N181" s="2">
        <f t="shared" si="40"/>
        <v>2678320</v>
      </c>
      <c r="O181" s="2">
        <f t="shared" si="41"/>
        <v>3093930</v>
      </c>
      <c r="P181" s="2">
        <f t="shared" si="42"/>
        <v>437141.2502269512</v>
      </c>
      <c r="Q181" s="3">
        <f t="shared" si="43"/>
        <v>33143338998.356163</v>
      </c>
      <c r="R181" s="3">
        <f t="shared" si="44"/>
        <v>61226564937.602737</v>
      </c>
      <c r="S181" s="3">
        <f t="shared" si="45"/>
        <v>15220408219.178082</v>
      </c>
      <c r="T181" s="3">
        <f t="shared" si="46"/>
        <v>37246781157.534248</v>
      </c>
      <c r="U181" s="3">
        <f t="shared" si="47"/>
        <v>19653145266.849316</v>
      </c>
      <c r="V181" s="3">
        <f t="shared" si="48"/>
        <v>26225761218.90411</v>
      </c>
      <c r="W181" s="3">
        <f t="shared" si="49"/>
        <v>523541020.95885468</v>
      </c>
      <c r="X181" s="3">
        <f t="shared" si="50"/>
        <v>191092472649.98196</v>
      </c>
      <c r="Y181" s="3">
        <f t="shared" si="51"/>
        <v>11703672143696.752</v>
      </c>
      <c r="AK181">
        <v>2.1786799999999999</v>
      </c>
      <c r="AL181">
        <v>1000000</v>
      </c>
      <c r="AM181">
        <f t="shared" si="52"/>
        <v>2178680</v>
      </c>
      <c r="AN181">
        <v>1.7630699999999999</v>
      </c>
      <c r="AO181">
        <v>1000000</v>
      </c>
      <c r="AP181">
        <f t="shared" si="53"/>
        <v>1763070</v>
      </c>
    </row>
    <row r="182" spans="1:42" x14ac:dyDescent="0.4">
      <c r="A182">
        <v>171</v>
      </c>
      <c r="B182" s="2">
        <v>1134770</v>
      </c>
      <c r="C182" s="2">
        <v>61311</v>
      </c>
      <c r="D182" s="2">
        <f>IF(B182&lt;2500000,2500000,B182)</f>
        <v>2500000</v>
      </c>
      <c r="E182" s="2">
        <v>934562</v>
      </c>
      <c r="F182" s="2">
        <v>1928580</v>
      </c>
      <c r="G182" s="2">
        <v>1591530</v>
      </c>
      <c r="H182" s="2">
        <v>5134963.5784568824</v>
      </c>
      <c r="I182" s="2">
        <f>57.01*(100000)</f>
        <v>5701000</v>
      </c>
      <c r="J182" s="2">
        <f t="shared" si="36"/>
        <v>4566230</v>
      </c>
      <c r="K182" s="2">
        <f t="shared" si="37"/>
        <v>5639689</v>
      </c>
      <c r="L182" s="2">
        <f t="shared" si="38"/>
        <v>3201000</v>
      </c>
      <c r="M182" s="2">
        <f t="shared" si="39"/>
        <v>4766438</v>
      </c>
      <c r="N182" s="2">
        <f t="shared" si="40"/>
        <v>3772420</v>
      </c>
      <c r="O182" s="2">
        <f t="shared" si="41"/>
        <v>4109470</v>
      </c>
      <c r="P182" s="2">
        <f t="shared" si="42"/>
        <v>566036.42154311761</v>
      </c>
      <c r="Q182" s="3">
        <f t="shared" si="43"/>
        <v>57124538117.534248</v>
      </c>
      <c r="R182" s="3">
        <f t="shared" si="44"/>
        <v>87139978128.002747</v>
      </c>
      <c r="S182" s="3">
        <f t="shared" si="45"/>
        <v>28072331506.849316</v>
      </c>
      <c r="T182" s="3">
        <f t="shared" si="46"/>
        <v>62243647144.778084</v>
      </c>
      <c r="U182" s="3">
        <f t="shared" si="47"/>
        <v>38989459332.602737</v>
      </c>
      <c r="V182" s="3">
        <f t="shared" si="48"/>
        <v>46267790906.57534</v>
      </c>
      <c r="W182" s="3">
        <f t="shared" si="49"/>
        <v>877800631.5433917</v>
      </c>
      <c r="X182" s="3">
        <f t="shared" si="50"/>
        <v>320397230513.33795</v>
      </c>
      <c r="Y182" s="3">
        <f t="shared" si="51"/>
        <v>6641253776573.4658</v>
      </c>
      <c r="AK182">
        <v>1.92858</v>
      </c>
      <c r="AL182">
        <v>1000000</v>
      </c>
      <c r="AM182">
        <f t="shared" si="52"/>
        <v>1928580</v>
      </c>
      <c r="AN182">
        <v>1.5915299999999999</v>
      </c>
      <c r="AO182">
        <v>1000000</v>
      </c>
      <c r="AP182">
        <f t="shared" si="53"/>
        <v>1591530</v>
      </c>
    </row>
    <row r="183" spans="1:42" x14ac:dyDescent="0.4">
      <c r="A183">
        <v>172</v>
      </c>
      <c r="B183" s="2">
        <v>9570380</v>
      </c>
      <c r="C183" s="2">
        <v>41715500</v>
      </c>
      <c r="D183" s="2">
        <f>IF(B183&lt;2500000,2500000,B183)</f>
        <v>9570380</v>
      </c>
      <c r="E183" s="2">
        <v>14560200</v>
      </c>
      <c r="F183" s="2">
        <v>4755930</v>
      </c>
      <c r="G183" s="2">
        <v>3489090</v>
      </c>
      <c r="H183" s="2">
        <v>8779399.8799673691</v>
      </c>
      <c r="I183" s="2">
        <f>43.05*(100000)</f>
        <v>4305000</v>
      </c>
      <c r="J183" s="2">
        <f t="shared" si="36"/>
        <v>5265380</v>
      </c>
      <c r="K183" s="2">
        <f t="shared" si="37"/>
        <v>37410500</v>
      </c>
      <c r="L183" s="2">
        <f t="shared" si="38"/>
        <v>5265380</v>
      </c>
      <c r="M183" s="2">
        <f t="shared" si="39"/>
        <v>10255200</v>
      </c>
      <c r="N183" s="2">
        <f t="shared" si="40"/>
        <v>450930</v>
      </c>
      <c r="O183" s="2">
        <f t="shared" si="41"/>
        <v>815910</v>
      </c>
      <c r="P183" s="2">
        <f t="shared" si="42"/>
        <v>4474399.8799673691</v>
      </c>
      <c r="Q183" s="3">
        <f t="shared" si="43"/>
        <v>75956785053.150681</v>
      </c>
      <c r="R183" s="3">
        <f t="shared" si="44"/>
        <v>3834371260958.9043</v>
      </c>
      <c r="S183" s="3">
        <f t="shared" si="45"/>
        <v>75956785053.150681</v>
      </c>
      <c r="T183" s="3">
        <f t="shared" si="46"/>
        <v>288134594630.13696</v>
      </c>
      <c r="U183" s="3">
        <f t="shared" si="47"/>
        <v>557090040.82191777</v>
      </c>
      <c r="V183" s="3">
        <f t="shared" si="48"/>
        <v>1823860624.9315069</v>
      </c>
      <c r="W183" s="3">
        <f t="shared" si="49"/>
        <v>54850011742.060295</v>
      </c>
      <c r="X183" s="3">
        <f t="shared" si="50"/>
        <v>20020254285852.008</v>
      </c>
      <c r="Y183" s="3">
        <f t="shared" si="51"/>
        <v>15785229710820.041</v>
      </c>
      <c r="AK183">
        <v>4.7559300000000002</v>
      </c>
      <c r="AL183">
        <v>1000000</v>
      </c>
      <c r="AM183">
        <f t="shared" si="52"/>
        <v>4755930</v>
      </c>
      <c r="AN183">
        <v>3.48909</v>
      </c>
      <c r="AO183">
        <v>1000000</v>
      </c>
      <c r="AP183">
        <f t="shared" si="53"/>
        <v>3489090</v>
      </c>
    </row>
    <row r="184" spans="1:42" x14ac:dyDescent="0.4">
      <c r="A184">
        <v>173</v>
      </c>
      <c r="B184" s="2">
        <v>12919600</v>
      </c>
      <c r="C184" s="2">
        <v>17206900</v>
      </c>
      <c r="D184" s="2">
        <f>IF(B184&lt;2500000,2500000,B184)</f>
        <v>12919600</v>
      </c>
      <c r="E184" s="2">
        <v>8746110</v>
      </c>
      <c r="F184" s="2">
        <v>4075420.0000000005</v>
      </c>
      <c r="G184" s="2">
        <v>7447950</v>
      </c>
      <c r="H184" s="2">
        <v>6539242.3701401167</v>
      </c>
      <c r="I184" s="2">
        <f>34.13*(100000)</f>
        <v>3413000.0000000005</v>
      </c>
      <c r="J184" s="2">
        <f t="shared" si="36"/>
        <v>9506600</v>
      </c>
      <c r="K184" s="2">
        <f t="shared" si="37"/>
        <v>13793900</v>
      </c>
      <c r="L184" s="2">
        <f t="shared" si="38"/>
        <v>9506600</v>
      </c>
      <c r="M184" s="2">
        <f t="shared" si="39"/>
        <v>5333110</v>
      </c>
      <c r="N184" s="2">
        <f t="shared" si="40"/>
        <v>662420</v>
      </c>
      <c r="O184" s="2">
        <f t="shared" si="41"/>
        <v>4034949.9999999995</v>
      </c>
      <c r="P184" s="2">
        <f t="shared" si="42"/>
        <v>3126242.3701401162</v>
      </c>
      <c r="Q184" s="3">
        <f t="shared" si="43"/>
        <v>247603954958.90411</v>
      </c>
      <c r="R184" s="3">
        <f t="shared" si="44"/>
        <v>521292266328.76715</v>
      </c>
      <c r="S184" s="3">
        <f t="shared" si="45"/>
        <v>247603954958.90411</v>
      </c>
      <c r="T184" s="3">
        <f t="shared" si="46"/>
        <v>77923458279.726028</v>
      </c>
      <c r="U184" s="3">
        <f t="shared" si="47"/>
        <v>1202192483.2876713</v>
      </c>
      <c r="V184" s="3">
        <f t="shared" si="48"/>
        <v>44604990417.808212</v>
      </c>
      <c r="W184" s="3">
        <f t="shared" si="49"/>
        <v>26776414676.326824</v>
      </c>
      <c r="X184" s="3">
        <f t="shared" si="50"/>
        <v>9773391356859.291</v>
      </c>
      <c r="Y184" s="3">
        <f t="shared" si="51"/>
        <v>23668838127258.395</v>
      </c>
      <c r="AK184">
        <v>4.0754200000000003</v>
      </c>
      <c r="AL184">
        <v>1000000</v>
      </c>
      <c r="AM184">
        <f t="shared" si="52"/>
        <v>4075420.0000000005</v>
      </c>
      <c r="AN184">
        <v>7.4479499999999996</v>
      </c>
      <c r="AO184">
        <v>1000000</v>
      </c>
      <c r="AP184">
        <f t="shared" si="53"/>
        <v>7447950</v>
      </c>
    </row>
    <row r="185" spans="1:42" x14ac:dyDescent="0.4">
      <c r="A185">
        <v>174</v>
      </c>
      <c r="B185" s="2">
        <v>7554490</v>
      </c>
      <c r="C185" s="2">
        <v>6486840</v>
      </c>
      <c r="D185" s="2">
        <f>IF(B185&lt;2500000,2500000,B185)</f>
        <v>7554490</v>
      </c>
      <c r="E185" s="2">
        <v>12217400</v>
      </c>
      <c r="F185" s="2">
        <v>3507760</v>
      </c>
      <c r="G185" s="2">
        <v>2582590</v>
      </c>
      <c r="H185" s="2">
        <v>6187474.9361636247</v>
      </c>
      <c r="I185" s="2">
        <f>29.92*(100000)</f>
        <v>2992000</v>
      </c>
      <c r="J185" s="2">
        <f t="shared" si="36"/>
        <v>4562490</v>
      </c>
      <c r="K185" s="2">
        <f t="shared" si="37"/>
        <v>3494840</v>
      </c>
      <c r="L185" s="2">
        <f t="shared" si="38"/>
        <v>4562490</v>
      </c>
      <c r="M185" s="2">
        <f t="shared" si="39"/>
        <v>9225400</v>
      </c>
      <c r="N185" s="2">
        <f t="shared" si="40"/>
        <v>515760</v>
      </c>
      <c r="O185" s="2">
        <f t="shared" si="41"/>
        <v>409410</v>
      </c>
      <c r="P185" s="2">
        <f t="shared" si="42"/>
        <v>3195474.9361636247</v>
      </c>
      <c r="Q185" s="3">
        <f t="shared" si="43"/>
        <v>57031000000.273972</v>
      </c>
      <c r="R185" s="3">
        <f t="shared" si="44"/>
        <v>33462757878.356163</v>
      </c>
      <c r="S185" s="3">
        <f t="shared" si="45"/>
        <v>57031000000.273972</v>
      </c>
      <c r="T185" s="3">
        <f t="shared" si="46"/>
        <v>233172616876.71234</v>
      </c>
      <c r="U185" s="3">
        <f t="shared" si="47"/>
        <v>728790075.61643839</v>
      </c>
      <c r="V185" s="3">
        <f t="shared" si="48"/>
        <v>459223419.4520548</v>
      </c>
      <c r="W185" s="3">
        <f t="shared" si="49"/>
        <v>27975507034.657322</v>
      </c>
      <c r="X185" s="3">
        <f t="shared" si="50"/>
        <v>10211060067649.922</v>
      </c>
      <c r="Y185" s="3">
        <f t="shared" si="51"/>
        <v>27942462184792.645</v>
      </c>
      <c r="AK185">
        <v>3.5077600000000002</v>
      </c>
      <c r="AL185">
        <v>1000000</v>
      </c>
      <c r="AM185">
        <f t="shared" si="52"/>
        <v>3507760</v>
      </c>
      <c r="AN185">
        <v>2.5825900000000002</v>
      </c>
      <c r="AO185">
        <v>1000000</v>
      </c>
      <c r="AP185">
        <f t="shared" si="53"/>
        <v>2582590</v>
      </c>
    </row>
    <row r="186" spans="1:42" x14ac:dyDescent="0.4">
      <c r="A186">
        <v>175</v>
      </c>
      <c r="B186" s="2">
        <v>10350400</v>
      </c>
      <c r="C186" s="2">
        <v>2822450</v>
      </c>
      <c r="D186" s="2">
        <f>IF(B186&lt;2500000,2500000,B186)</f>
        <v>10350400</v>
      </c>
      <c r="E186" s="2">
        <v>5958200</v>
      </c>
      <c r="F186" s="2">
        <v>3027100</v>
      </c>
      <c r="G186" s="2">
        <v>2246930</v>
      </c>
      <c r="H186" s="2">
        <v>5970509.3765955791</v>
      </c>
      <c r="I186" s="2">
        <f>32.42*(100000)</f>
        <v>3242000</v>
      </c>
      <c r="J186" s="2">
        <f t="shared" si="36"/>
        <v>7108400</v>
      </c>
      <c r="K186" s="2">
        <f t="shared" si="37"/>
        <v>419550</v>
      </c>
      <c r="L186" s="2">
        <f t="shared" si="38"/>
        <v>7108400</v>
      </c>
      <c r="M186" s="2">
        <f t="shared" si="39"/>
        <v>2716200</v>
      </c>
      <c r="N186" s="2">
        <f t="shared" si="40"/>
        <v>214900</v>
      </c>
      <c r="O186" s="2">
        <f t="shared" si="41"/>
        <v>995070</v>
      </c>
      <c r="P186" s="2">
        <f t="shared" si="42"/>
        <v>2728509.3765955791</v>
      </c>
      <c r="Q186" s="3">
        <f t="shared" si="43"/>
        <v>138436576876.71234</v>
      </c>
      <c r="R186" s="3">
        <f t="shared" si="44"/>
        <v>482252609.58904111</v>
      </c>
      <c r="S186" s="3">
        <f t="shared" si="45"/>
        <v>138436576876.71234</v>
      </c>
      <c r="T186" s="3">
        <f t="shared" si="46"/>
        <v>20212992986.301369</v>
      </c>
      <c r="U186" s="3">
        <f t="shared" si="47"/>
        <v>126526054.79452054</v>
      </c>
      <c r="V186" s="3">
        <f t="shared" si="48"/>
        <v>2712778917.5342464</v>
      </c>
      <c r="W186" s="3">
        <f t="shared" si="49"/>
        <v>20396612104.575333</v>
      </c>
      <c r="X186" s="3">
        <f t="shared" si="50"/>
        <v>7444763418169.9961</v>
      </c>
      <c r="Y186" s="3">
        <f t="shared" si="51"/>
        <v>25361930677943.328</v>
      </c>
      <c r="AK186">
        <v>3.0270999999999999</v>
      </c>
      <c r="AL186">
        <v>1000000</v>
      </c>
      <c r="AM186">
        <f t="shared" si="52"/>
        <v>3027100</v>
      </c>
      <c r="AN186">
        <v>2.2469299999999999</v>
      </c>
      <c r="AO186">
        <v>1000000</v>
      </c>
      <c r="AP186">
        <f t="shared" si="53"/>
        <v>2246930</v>
      </c>
    </row>
    <row r="187" spans="1:42" x14ac:dyDescent="0.4">
      <c r="A187">
        <v>176</v>
      </c>
      <c r="B187" s="2">
        <v>15174700</v>
      </c>
      <c r="C187" s="2">
        <v>54139200</v>
      </c>
      <c r="D187" s="2">
        <f>IF(B187&lt;2500000,2500000,B187)</f>
        <v>15174700</v>
      </c>
      <c r="E187" s="2">
        <v>16078499.999999998</v>
      </c>
      <c r="F187" s="2">
        <v>6505180</v>
      </c>
      <c r="G187" s="2">
        <v>4587840</v>
      </c>
      <c r="H187" s="2">
        <v>10894549.19319992</v>
      </c>
      <c r="I187" s="2">
        <f>46.57*(100000)</f>
        <v>4657000</v>
      </c>
      <c r="J187" s="2">
        <f t="shared" si="36"/>
        <v>10517700</v>
      </c>
      <c r="K187" s="2">
        <f t="shared" si="37"/>
        <v>49482200</v>
      </c>
      <c r="L187" s="2">
        <f t="shared" si="38"/>
        <v>10517700</v>
      </c>
      <c r="M187" s="2">
        <f t="shared" si="39"/>
        <v>11421499.999999998</v>
      </c>
      <c r="N187" s="2">
        <f t="shared" si="40"/>
        <v>1848180</v>
      </c>
      <c r="O187" s="2">
        <f t="shared" si="41"/>
        <v>69160</v>
      </c>
      <c r="P187" s="2">
        <f t="shared" si="42"/>
        <v>6237549.1931999195</v>
      </c>
      <c r="Q187" s="3">
        <f t="shared" si="43"/>
        <v>303074009013.69861</v>
      </c>
      <c r="R187" s="3">
        <f t="shared" si="44"/>
        <v>6708186621479.4521</v>
      </c>
      <c r="S187" s="3">
        <f t="shared" si="45"/>
        <v>303074009013.69861</v>
      </c>
      <c r="T187" s="3">
        <f t="shared" si="46"/>
        <v>357399074657.53412</v>
      </c>
      <c r="U187" s="3">
        <f t="shared" si="47"/>
        <v>9358272088.7671242</v>
      </c>
      <c r="V187" s="3">
        <f t="shared" si="48"/>
        <v>13104398.90410959</v>
      </c>
      <c r="W187" s="3">
        <f t="shared" si="49"/>
        <v>106594575171.47662</v>
      </c>
      <c r="X187" s="3">
        <f t="shared" si="50"/>
        <v>38907019937588.969</v>
      </c>
      <c r="Y187" s="3">
        <f t="shared" si="51"/>
        <v>13112097349176.205</v>
      </c>
      <c r="AK187">
        <v>6.5051800000000002</v>
      </c>
      <c r="AL187">
        <v>1000000</v>
      </c>
      <c r="AM187">
        <f t="shared" si="52"/>
        <v>6505180</v>
      </c>
      <c r="AN187">
        <v>4.5878399999999999</v>
      </c>
      <c r="AO187">
        <v>1000000</v>
      </c>
      <c r="AP187">
        <f t="shared" si="53"/>
        <v>4587840</v>
      </c>
    </row>
    <row r="188" spans="1:42" x14ac:dyDescent="0.4">
      <c r="A188">
        <v>177</v>
      </c>
      <c r="B188" s="2">
        <v>18160100</v>
      </c>
      <c r="C188" s="2">
        <v>28024400</v>
      </c>
      <c r="D188" s="2">
        <f>IF(B188&lt;2500000,2500000,B188)</f>
        <v>18160100</v>
      </c>
      <c r="E188" s="2">
        <v>18993500</v>
      </c>
      <c r="F188" s="2">
        <v>5950200</v>
      </c>
      <c r="G188" s="2">
        <v>8699270</v>
      </c>
      <c r="H188" s="2">
        <v>8545493.1268939078</v>
      </c>
      <c r="I188" s="2">
        <f>37.31*(100000)</f>
        <v>3731000</v>
      </c>
      <c r="J188" s="2">
        <f t="shared" si="36"/>
        <v>14429100</v>
      </c>
      <c r="K188" s="2">
        <f t="shared" si="37"/>
        <v>24293400</v>
      </c>
      <c r="L188" s="2">
        <f t="shared" si="38"/>
        <v>14429100</v>
      </c>
      <c r="M188" s="2">
        <f t="shared" si="39"/>
        <v>15262500</v>
      </c>
      <c r="N188" s="2">
        <f t="shared" si="40"/>
        <v>2219200</v>
      </c>
      <c r="O188" s="2">
        <f t="shared" si="41"/>
        <v>4968270</v>
      </c>
      <c r="P188" s="2">
        <f t="shared" si="42"/>
        <v>4814493.1268939078</v>
      </c>
      <c r="Q188" s="3">
        <f t="shared" si="43"/>
        <v>570408018657.5343</v>
      </c>
      <c r="R188" s="3">
        <f t="shared" si="44"/>
        <v>1616902146739.7261</v>
      </c>
      <c r="S188" s="3">
        <f t="shared" si="45"/>
        <v>570408018657.5343</v>
      </c>
      <c r="T188" s="3">
        <f t="shared" si="46"/>
        <v>638202482876.71228</v>
      </c>
      <c r="U188" s="3">
        <f t="shared" si="47"/>
        <v>13492736000</v>
      </c>
      <c r="V188" s="3">
        <f t="shared" si="48"/>
        <v>67626593953.150688</v>
      </c>
      <c r="W188" s="3">
        <f t="shared" si="49"/>
        <v>63505052243.585411</v>
      </c>
      <c r="X188" s="3">
        <f t="shared" si="50"/>
        <v>23179344068908.676</v>
      </c>
      <c r="Y188" s="3">
        <f t="shared" si="51"/>
        <v>20675782050546.066</v>
      </c>
      <c r="AK188">
        <v>5.9501999999999997</v>
      </c>
      <c r="AL188">
        <v>1000000</v>
      </c>
      <c r="AM188">
        <f t="shared" si="52"/>
        <v>5950200</v>
      </c>
      <c r="AN188">
        <v>8.6992700000000003</v>
      </c>
      <c r="AO188">
        <v>1000000</v>
      </c>
      <c r="AP188">
        <f t="shared" si="53"/>
        <v>8699270</v>
      </c>
    </row>
    <row r="189" spans="1:42" x14ac:dyDescent="0.4">
      <c r="A189">
        <v>178</v>
      </c>
      <c r="B189" s="2">
        <v>23376100</v>
      </c>
      <c r="C189" s="2">
        <v>48478700</v>
      </c>
      <c r="D189" s="2">
        <f>IF(B189&lt;2500000,2500000,B189)</f>
        <v>23376100</v>
      </c>
      <c r="E189" s="2">
        <v>24480700</v>
      </c>
      <c r="F189" s="2">
        <v>7572120</v>
      </c>
      <c r="G189" s="2">
        <v>5253810</v>
      </c>
      <c r="H189" s="2">
        <v>14088956.803988131</v>
      </c>
      <c r="I189" s="2">
        <f>74.16*(100000)</f>
        <v>7416000</v>
      </c>
      <c r="J189" s="2">
        <f t="shared" si="36"/>
        <v>15960100</v>
      </c>
      <c r="K189" s="2">
        <f t="shared" si="37"/>
        <v>41062700</v>
      </c>
      <c r="L189" s="2">
        <f t="shared" si="38"/>
        <v>15960100</v>
      </c>
      <c r="M189" s="2">
        <f t="shared" si="39"/>
        <v>17064700</v>
      </c>
      <c r="N189" s="2">
        <f t="shared" si="40"/>
        <v>156120</v>
      </c>
      <c r="O189" s="2">
        <f t="shared" si="41"/>
        <v>2162190</v>
      </c>
      <c r="P189" s="2">
        <f t="shared" si="42"/>
        <v>6672956.8039881308</v>
      </c>
      <c r="Q189" s="3">
        <f t="shared" si="43"/>
        <v>697876142493.15063</v>
      </c>
      <c r="R189" s="3">
        <f t="shared" si="44"/>
        <v>4619576250109.5889</v>
      </c>
      <c r="S189" s="3">
        <f t="shared" si="45"/>
        <v>697876142493.15063</v>
      </c>
      <c r="T189" s="3">
        <f t="shared" si="46"/>
        <v>797819139972.60278</v>
      </c>
      <c r="U189" s="3">
        <f t="shared" si="47"/>
        <v>66776587.397260271</v>
      </c>
      <c r="V189" s="3">
        <f t="shared" si="48"/>
        <v>12808398893.424658</v>
      </c>
      <c r="W189" s="3">
        <f t="shared" si="49"/>
        <v>121995486322.99039</v>
      </c>
      <c r="X189" s="3">
        <f t="shared" si="50"/>
        <v>44528352507891.492</v>
      </c>
      <c r="Y189" s="3">
        <f t="shared" si="51"/>
        <v>743152639587.16443</v>
      </c>
      <c r="AK189">
        <v>7.57212</v>
      </c>
      <c r="AL189">
        <v>1000000</v>
      </c>
      <c r="AM189">
        <f t="shared" si="52"/>
        <v>7572120</v>
      </c>
      <c r="AN189">
        <v>5.2538099999999996</v>
      </c>
      <c r="AO189">
        <v>1000000</v>
      </c>
      <c r="AP189">
        <f t="shared" si="53"/>
        <v>5253810</v>
      </c>
    </row>
    <row r="190" spans="1:42" x14ac:dyDescent="0.4">
      <c r="A190">
        <v>179</v>
      </c>
      <c r="B190" s="2">
        <v>22353500</v>
      </c>
      <c r="C190" s="2">
        <v>27833400</v>
      </c>
      <c r="D190" s="2">
        <f>IF(B190&lt;2500000,2500000,B190)</f>
        <v>22353500</v>
      </c>
      <c r="E190" s="2">
        <v>23236500</v>
      </c>
      <c r="F190" s="2">
        <v>7217730</v>
      </c>
      <c r="G190" s="2">
        <v>9437890</v>
      </c>
      <c r="H190" s="2">
        <v>11719849.861883029</v>
      </c>
      <c r="I190" s="2">
        <f>123.23*(100000)</f>
        <v>12323000</v>
      </c>
      <c r="J190" s="2">
        <f t="shared" si="36"/>
        <v>10030500</v>
      </c>
      <c r="K190" s="2">
        <f t="shared" si="37"/>
        <v>15510400</v>
      </c>
      <c r="L190" s="2">
        <f t="shared" si="38"/>
        <v>10030500</v>
      </c>
      <c r="M190" s="2">
        <f t="shared" si="39"/>
        <v>10913500</v>
      </c>
      <c r="N190" s="2">
        <f t="shared" si="40"/>
        <v>5105270</v>
      </c>
      <c r="O190" s="2">
        <f t="shared" si="41"/>
        <v>2885110</v>
      </c>
      <c r="P190" s="2">
        <f t="shared" si="42"/>
        <v>603150.13811697066</v>
      </c>
      <c r="Q190" s="3">
        <f t="shared" si="43"/>
        <v>275646384246.57532</v>
      </c>
      <c r="R190" s="3">
        <f t="shared" si="44"/>
        <v>659102762082.19177</v>
      </c>
      <c r="S190" s="3">
        <f t="shared" si="45"/>
        <v>275646384246.57532</v>
      </c>
      <c r="T190" s="3">
        <f t="shared" si="46"/>
        <v>326313650000</v>
      </c>
      <c r="U190" s="3">
        <f t="shared" si="47"/>
        <v>71407621295.61644</v>
      </c>
      <c r="V190" s="3">
        <f t="shared" si="48"/>
        <v>22805095101.643837</v>
      </c>
      <c r="W190" s="3">
        <f t="shared" si="49"/>
        <v>996685175.64526236</v>
      </c>
      <c r="X190" s="3">
        <f t="shared" si="50"/>
        <v>363790089110.52075</v>
      </c>
      <c r="Y190" s="3">
        <f t="shared" si="51"/>
        <v>16361515223148.809</v>
      </c>
      <c r="AK190">
        <v>7.2177300000000004</v>
      </c>
      <c r="AL190">
        <v>1000000</v>
      </c>
      <c r="AM190">
        <f t="shared" si="52"/>
        <v>7217730</v>
      </c>
      <c r="AN190">
        <v>9.4378899999999994</v>
      </c>
      <c r="AO190">
        <v>1000000</v>
      </c>
      <c r="AP190">
        <f t="shared" si="53"/>
        <v>9437890</v>
      </c>
    </row>
    <row r="191" spans="1:42" x14ac:dyDescent="0.4">
      <c r="A191">
        <v>180</v>
      </c>
      <c r="B191" s="2">
        <v>27583300</v>
      </c>
      <c r="C191" s="2">
        <v>49057900</v>
      </c>
      <c r="D191" s="2">
        <f>IF(B191&lt;2500000,2500000,B191)</f>
        <v>27583300</v>
      </c>
      <c r="E191" s="2">
        <v>28773200</v>
      </c>
      <c r="F191" s="2">
        <v>13492100</v>
      </c>
      <c r="G191" s="2">
        <v>6203950</v>
      </c>
      <c r="H191" s="2">
        <v>35394894.628396198</v>
      </c>
      <c r="I191" s="2">
        <f>1536.06*(100000)</f>
        <v>153606000</v>
      </c>
      <c r="J191" s="2">
        <f t="shared" si="36"/>
        <v>126022700</v>
      </c>
      <c r="K191" s="2">
        <f t="shared" si="37"/>
        <v>104548100</v>
      </c>
      <c r="L191" s="2">
        <f t="shared" si="38"/>
        <v>126022700</v>
      </c>
      <c r="M191" s="2">
        <f t="shared" si="39"/>
        <v>124832800</v>
      </c>
      <c r="N191" s="2">
        <f t="shared" si="40"/>
        <v>140113900</v>
      </c>
      <c r="O191" s="2">
        <f t="shared" si="41"/>
        <v>147402050</v>
      </c>
      <c r="P191" s="2">
        <f t="shared" si="42"/>
        <v>118211105.3716038</v>
      </c>
      <c r="Q191" s="3">
        <f t="shared" si="43"/>
        <v>43511564151479.453</v>
      </c>
      <c r="R191" s="3">
        <f t="shared" si="44"/>
        <v>29946041681123.289</v>
      </c>
      <c r="S191" s="3">
        <f t="shared" si="45"/>
        <v>43511564151479.453</v>
      </c>
      <c r="T191" s="3">
        <f t="shared" si="46"/>
        <v>42693775221479.453</v>
      </c>
      <c r="U191" s="3">
        <f t="shared" si="47"/>
        <v>53786041022493.148</v>
      </c>
      <c r="V191" s="3">
        <f t="shared" si="48"/>
        <v>59527025600554.797</v>
      </c>
      <c r="W191" s="3">
        <f t="shared" si="49"/>
        <v>38284562830620.32</v>
      </c>
      <c r="X191" s="3">
        <f t="shared" si="50"/>
        <v>1.3973865433176418E+16</v>
      </c>
      <c r="Y191" s="3">
        <f t="shared" si="51"/>
        <v>2.112020926869438E+16</v>
      </c>
      <c r="AK191">
        <v>13.492100000000001</v>
      </c>
      <c r="AL191">
        <v>1000000</v>
      </c>
      <c r="AM191">
        <f t="shared" si="52"/>
        <v>13492100</v>
      </c>
      <c r="AN191">
        <v>6.2039499999999999</v>
      </c>
      <c r="AO191">
        <v>1000000</v>
      </c>
      <c r="AP191">
        <f t="shared" si="53"/>
        <v>6203950</v>
      </c>
    </row>
    <row r="192" spans="1:42" x14ac:dyDescent="0.4">
      <c r="A192">
        <v>181</v>
      </c>
      <c r="B192" s="2">
        <v>67842500</v>
      </c>
      <c r="C192" s="2">
        <v>232644000</v>
      </c>
      <c r="D192" s="2">
        <f>IF(B192&lt;2500000,2500000,B192)</f>
        <v>67842500</v>
      </c>
      <c r="E192" s="2">
        <v>72213400</v>
      </c>
      <c r="F192" s="2">
        <v>23273700</v>
      </c>
      <c r="G192" s="2">
        <v>20226300</v>
      </c>
      <c r="H192" s="2">
        <v>181768753.2794098</v>
      </c>
      <c r="I192" s="2">
        <f>2038.33*(100000)</f>
        <v>203833000</v>
      </c>
      <c r="J192" s="2">
        <f t="shared" si="36"/>
        <v>135990500</v>
      </c>
      <c r="K192" s="2">
        <f t="shared" si="37"/>
        <v>28811000</v>
      </c>
      <c r="L192" s="2">
        <f t="shared" si="38"/>
        <v>135990500</v>
      </c>
      <c r="M192" s="2">
        <f t="shared" si="39"/>
        <v>131619600</v>
      </c>
      <c r="N192" s="2">
        <f t="shared" si="40"/>
        <v>180559300</v>
      </c>
      <c r="O192" s="2">
        <f t="shared" si="41"/>
        <v>183606700</v>
      </c>
      <c r="P192" s="2">
        <f t="shared" si="42"/>
        <v>22064246.720590204</v>
      </c>
      <c r="Q192" s="3">
        <f t="shared" si="43"/>
        <v>50666893397945.203</v>
      </c>
      <c r="R192" s="3">
        <f t="shared" si="44"/>
        <v>2274174578082.1919</v>
      </c>
      <c r="S192" s="3">
        <f t="shared" si="45"/>
        <v>50666893397945.203</v>
      </c>
      <c r="T192" s="3">
        <f t="shared" si="46"/>
        <v>47462244120986.305</v>
      </c>
      <c r="U192" s="3">
        <f t="shared" si="47"/>
        <v>89319618675315.063</v>
      </c>
      <c r="V192" s="3">
        <f t="shared" si="48"/>
        <v>92360055575041.094</v>
      </c>
      <c r="W192" s="3">
        <f t="shared" si="49"/>
        <v>1333783516019.385</v>
      </c>
      <c r="X192" s="3">
        <f t="shared" si="50"/>
        <v>486830983347075.56</v>
      </c>
      <c r="Y192" s="3">
        <f t="shared" si="51"/>
        <v>3.8241733379716296E+16</v>
      </c>
      <c r="AK192">
        <v>23.273700000000002</v>
      </c>
      <c r="AL192">
        <v>1000000</v>
      </c>
      <c r="AM192">
        <f t="shared" si="52"/>
        <v>23273700</v>
      </c>
      <c r="AN192">
        <v>20.226299999999998</v>
      </c>
      <c r="AO192">
        <v>1000000</v>
      </c>
      <c r="AP192">
        <f t="shared" si="53"/>
        <v>20226300</v>
      </c>
    </row>
    <row r="193" spans="1:42" x14ac:dyDescent="0.4">
      <c r="A193">
        <v>182</v>
      </c>
      <c r="B193" s="2">
        <v>68897400</v>
      </c>
      <c r="C193" s="2">
        <v>148180000</v>
      </c>
      <c r="D193" s="2">
        <f>IF(B193&lt;2500000,2500000,B193)</f>
        <v>68897400</v>
      </c>
      <c r="E193" s="2">
        <v>72542800</v>
      </c>
      <c r="F193" s="2">
        <v>22745900</v>
      </c>
      <c r="G193" s="2">
        <v>19870000</v>
      </c>
      <c r="H193" s="2">
        <v>47498309.414482452</v>
      </c>
      <c r="I193" s="2">
        <f>626.45*(100000)</f>
        <v>62645000.000000007</v>
      </c>
      <c r="J193" s="2">
        <f t="shared" si="36"/>
        <v>6252399.9999999925</v>
      </c>
      <c r="K193" s="2">
        <f t="shared" si="37"/>
        <v>85535000</v>
      </c>
      <c r="L193" s="2">
        <f t="shared" si="38"/>
        <v>6252399.9999999925</v>
      </c>
      <c r="M193" s="2">
        <f t="shared" si="39"/>
        <v>9897799.9999999925</v>
      </c>
      <c r="N193" s="2">
        <f t="shared" si="40"/>
        <v>39899100.000000007</v>
      </c>
      <c r="O193" s="2">
        <f t="shared" si="41"/>
        <v>42775000.000000007</v>
      </c>
      <c r="P193" s="2">
        <f t="shared" si="42"/>
        <v>15146690.585517555</v>
      </c>
      <c r="Q193" s="3">
        <f t="shared" si="43"/>
        <v>107102755506.84906</v>
      </c>
      <c r="R193" s="3">
        <f t="shared" si="44"/>
        <v>20044482808219.18</v>
      </c>
      <c r="S193" s="3">
        <f t="shared" si="45"/>
        <v>107102755506.84906</v>
      </c>
      <c r="T193" s="3">
        <f t="shared" si="46"/>
        <v>268401218739.72565</v>
      </c>
      <c r="U193" s="3">
        <f t="shared" si="47"/>
        <v>4361474467972.604</v>
      </c>
      <c r="V193" s="3">
        <f t="shared" si="48"/>
        <v>5012878424657.5361</v>
      </c>
      <c r="W193" s="3">
        <f t="shared" si="49"/>
        <v>628554070392.89355</v>
      </c>
      <c r="X193" s="3">
        <f t="shared" si="50"/>
        <v>229422235693406.16</v>
      </c>
      <c r="Y193" s="3">
        <f t="shared" si="51"/>
        <v>2955763837272464.5</v>
      </c>
      <c r="AK193">
        <v>22.745899999999999</v>
      </c>
      <c r="AL193">
        <v>1000000</v>
      </c>
      <c r="AM193">
        <f t="shared" si="52"/>
        <v>22745900</v>
      </c>
      <c r="AN193">
        <v>19.87</v>
      </c>
      <c r="AO193">
        <v>1000000</v>
      </c>
      <c r="AP193">
        <f t="shared" si="53"/>
        <v>19870000</v>
      </c>
    </row>
    <row r="194" spans="1:42" x14ac:dyDescent="0.4">
      <c r="A194">
        <v>183</v>
      </c>
      <c r="B194" s="2">
        <v>72624100</v>
      </c>
      <c r="C194" s="2">
        <v>103853000</v>
      </c>
      <c r="D194" s="2">
        <f>IF(B194&lt;2500000,2500000,B194)</f>
        <v>72624100</v>
      </c>
      <c r="E194" s="2">
        <v>75659800</v>
      </c>
      <c r="F194" s="2">
        <v>22576200</v>
      </c>
      <c r="G194" s="2">
        <v>19890400</v>
      </c>
      <c r="H194" s="2">
        <v>46989847.162294477</v>
      </c>
      <c r="I194" s="2">
        <f>1755.95*(100000)</f>
        <v>175595000</v>
      </c>
      <c r="J194" s="2">
        <f t="shared" si="36"/>
        <v>102970900</v>
      </c>
      <c r="K194" s="2">
        <f t="shared" si="37"/>
        <v>71742000</v>
      </c>
      <c r="L194" s="2">
        <f t="shared" si="38"/>
        <v>102970900</v>
      </c>
      <c r="M194" s="2">
        <f t="shared" si="39"/>
        <v>99935200</v>
      </c>
      <c r="N194" s="2">
        <f t="shared" si="40"/>
        <v>153018800</v>
      </c>
      <c r="O194" s="2">
        <f t="shared" si="41"/>
        <v>155704600</v>
      </c>
      <c r="P194" s="2">
        <f t="shared" si="42"/>
        <v>128605152.83770552</v>
      </c>
      <c r="Q194" s="3">
        <f t="shared" si="43"/>
        <v>29049332183041.098</v>
      </c>
      <c r="R194" s="3">
        <f t="shared" si="44"/>
        <v>14101135791780.822</v>
      </c>
      <c r="S194" s="3">
        <f t="shared" si="45"/>
        <v>29049332183041.098</v>
      </c>
      <c r="T194" s="3">
        <f t="shared" si="46"/>
        <v>27361764928876.711</v>
      </c>
      <c r="U194" s="3">
        <f t="shared" si="47"/>
        <v>64150008639561.641</v>
      </c>
      <c r="V194" s="3">
        <f t="shared" si="48"/>
        <v>66421705373041.094</v>
      </c>
      <c r="W194" s="3">
        <f t="shared" si="49"/>
        <v>45313110510711.219</v>
      </c>
      <c r="X194" s="3">
        <f t="shared" si="50"/>
        <v>1.6539285336409596E+16</v>
      </c>
      <c r="Y194" s="3">
        <f t="shared" si="51"/>
        <v>2.799495740247794E+16</v>
      </c>
      <c r="AK194">
        <v>22.5762</v>
      </c>
      <c r="AL194">
        <v>1000000</v>
      </c>
      <c r="AM194">
        <f t="shared" si="52"/>
        <v>22576200</v>
      </c>
      <c r="AN194">
        <v>19.8904</v>
      </c>
      <c r="AO194">
        <v>1000000</v>
      </c>
      <c r="AP194">
        <f t="shared" si="53"/>
        <v>19890400</v>
      </c>
    </row>
    <row r="195" spans="1:42" x14ac:dyDescent="0.4">
      <c r="A195">
        <v>184</v>
      </c>
      <c r="B195" s="2">
        <v>230904000</v>
      </c>
      <c r="C195" s="2">
        <v>371843000</v>
      </c>
      <c r="D195" s="2">
        <f>IF(B195&lt;2500000,2500000,B195)</f>
        <v>230904000</v>
      </c>
      <c r="E195" s="2">
        <v>231813000</v>
      </c>
      <c r="F195" s="2">
        <v>41715500</v>
      </c>
      <c r="G195" s="2">
        <v>32891100</v>
      </c>
      <c r="H195" s="2">
        <v>269003947.53101468</v>
      </c>
      <c r="I195" s="2">
        <f>525.26*(100000)</f>
        <v>52526000</v>
      </c>
      <c r="J195" s="2">
        <f t="shared" si="36"/>
        <v>178378000</v>
      </c>
      <c r="K195" s="2">
        <f t="shared" si="37"/>
        <v>319317000</v>
      </c>
      <c r="L195" s="2">
        <f t="shared" si="38"/>
        <v>178378000</v>
      </c>
      <c r="M195" s="2">
        <f t="shared" si="39"/>
        <v>179287000</v>
      </c>
      <c r="N195" s="2">
        <f t="shared" si="40"/>
        <v>10810500</v>
      </c>
      <c r="O195" s="2">
        <f t="shared" si="41"/>
        <v>19634900</v>
      </c>
      <c r="P195" s="2">
        <f t="shared" si="42"/>
        <v>216477947.53101468</v>
      </c>
      <c r="Q195" s="3">
        <f t="shared" si="43"/>
        <v>87174550367123.281</v>
      </c>
      <c r="R195" s="3">
        <f t="shared" si="44"/>
        <v>279351634216438.34</v>
      </c>
      <c r="S195" s="3">
        <f t="shared" si="45"/>
        <v>87174550367123.281</v>
      </c>
      <c r="T195" s="3">
        <f t="shared" si="46"/>
        <v>88065283202739.719</v>
      </c>
      <c r="U195" s="3">
        <f t="shared" si="47"/>
        <v>320183315753.42468</v>
      </c>
      <c r="V195" s="3">
        <f t="shared" si="48"/>
        <v>1056244652082.1918</v>
      </c>
      <c r="W195" s="3">
        <f t="shared" si="49"/>
        <v>128390963745865.05</v>
      </c>
      <c r="X195" s="3">
        <f t="shared" si="50"/>
        <v>4.6862701767240744E+16</v>
      </c>
      <c r="Y195" s="3">
        <f t="shared" si="51"/>
        <v>1957879927543696.8</v>
      </c>
      <c r="AK195">
        <v>41.715499999999999</v>
      </c>
      <c r="AL195">
        <v>1000000</v>
      </c>
      <c r="AM195">
        <f t="shared" si="52"/>
        <v>41715500</v>
      </c>
      <c r="AN195">
        <v>32.891100000000002</v>
      </c>
      <c r="AO195">
        <v>1000000</v>
      </c>
      <c r="AP195">
        <f t="shared" si="53"/>
        <v>32891100</v>
      </c>
    </row>
    <row r="196" spans="1:42" x14ac:dyDescent="0.4">
      <c r="A196">
        <v>185</v>
      </c>
      <c r="B196" s="2">
        <v>173112000</v>
      </c>
      <c r="C196" s="2">
        <v>150035000</v>
      </c>
      <c r="D196" s="2">
        <f>IF(B196&lt;2500000,2500000,B196)</f>
        <v>173112000</v>
      </c>
      <c r="E196" s="2">
        <v>164783000</v>
      </c>
      <c r="F196" s="2">
        <v>35538900</v>
      </c>
      <c r="G196" s="2">
        <v>29124400</v>
      </c>
      <c r="H196" s="2">
        <v>30157601.162773449</v>
      </c>
      <c r="I196" s="2">
        <f>324.36*(100000)</f>
        <v>32436000</v>
      </c>
      <c r="J196" s="2">
        <f t="shared" si="36"/>
        <v>140676000</v>
      </c>
      <c r="K196" s="2">
        <f t="shared" si="37"/>
        <v>117599000</v>
      </c>
      <c r="L196" s="2">
        <f t="shared" si="38"/>
        <v>140676000</v>
      </c>
      <c r="M196" s="2">
        <f t="shared" si="39"/>
        <v>132347000</v>
      </c>
      <c r="N196" s="2">
        <f t="shared" si="40"/>
        <v>3102900</v>
      </c>
      <c r="O196" s="2">
        <f t="shared" si="41"/>
        <v>3311600</v>
      </c>
      <c r="P196" s="2">
        <f t="shared" si="42"/>
        <v>2278398.837226551</v>
      </c>
      <c r="Q196" s="3">
        <f t="shared" si="43"/>
        <v>54218457468493.148</v>
      </c>
      <c r="R196" s="3">
        <f t="shared" si="44"/>
        <v>37889109043835.617</v>
      </c>
      <c r="S196" s="3">
        <f t="shared" si="45"/>
        <v>54218457468493.148</v>
      </c>
      <c r="T196" s="3">
        <f t="shared" si="46"/>
        <v>47988297010958.906</v>
      </c>
      <c r="U196" s="3">
        <f t="shared" si="47"/>
        <v>26378050438.356163</v>
      </c>
      <c r="V196" s="3">
        <f t="shared" si="48"/>
        <v>30045738520.547947</v>
      </c>
      <c r="W196" s="3">
        <f t="shared" si="49"/>
        <v>14222195236.918629</v>
      </c>
      <c r="X196" s="3">
        <f t="shared" si="50"/>
        <v>5191101261475.2998</v>
      </c>
      <c r="Y196" s="3">
        <f t="shared" si="51"/>
        <v>583605919434107.75</v>
      </c>
      <c r="AK196">
        <v>35.538899999999998</v>
      </c>
      <c r="AL196">
        <v>1000000</v>
      </c>
      <c r="AM196">
        <f t="shared" si="52"/>
        <v>35538900</v>
      </c>
      <c r="AN196">
        <v>29.124400000000001</v>
      </c>
      <c r="AO196">
        <v>1000000</v>
      </c>
      <c r="AP196">
        <f t="shared" si="53"/>
        <v>29124400</v>
      </c>
    </row>
    <row r="197" spans="1:42" x14ac:dyDescent="0.4">
      <c r="A197">
        <v>186</v>
      </c>
      <c r="B197" s="2">
        <v>92683000</v>
      </c>
      <c r="C197" s="2">
        <v>87405700</v>
      </c>
      <c r="D197" s="2">
        <f>IF(B197&lt;2500000,2500000,B197)</f>
        <v>92683000</v>
      </c>
      <c r="E197" s="2">
        <v>95225000</v>
      </c>
      <c r="F197" s="2">
        <v>32169500</v>
      </c>
      <c r="G197" s="2">
        <v>27345000</v>
      </c>
      <c r="H197" s="2">
        <v>30156988.273132611</v>
      </c>
      <c r="I197" s="2">
        <f>242.93*(100000)</f>
        <v>24293000</v>
      </c>
      <c r="J197" s="2">
        <f t="shared" si="36"/>
        <v>68390000</v>
      </c>
      <c r="K197" s="2">
        <f t="shared" si="37"/>
        <v>63112700</v>
      </c>
      <c r="L197" s="2">
        <f t="shared" si="38"/>
        <v>68390000</v>
      </c>
      <c r="M197" s="2">
        <f t="shared" si="39"/>
        <v>70932000</v>
      </c>
      <c r="N197" s="2">
        <f t="shared" si="40"/>
        <v>7876500</v>
      </c>
      <c r="O197" s="2">
        <f t="shared" si="41"/>
        <v>3052000</v>
      </c>
      <c r="P197" s="2">
        <f t="shared" si="42"/>
        <v>5863988.2731326111</v>
      </c>
      <c r="Q197" s="3">
        <f t="shared" si="43"/>
        <v>12814224931506.85</v>
      </c>
      <c r="R197" s="3">
        <f t="shared" si="44"/>
        <v>10912912058328.768</v>
      </c>
      <c r="S197" s="3">
        <f t="shared" si="45"/>
        <v>12814224931506.85</v>
      </c>
      <c r="T197" s="3">
        <f t="shared" si="46"/>
        <v>13784516778082.191</v>
      </c>
      <c r="U197" s="3">
        <f t="shared" si="47"/>
        <v>169970554109.58905</v>
      </c>
      <c r="V197" s="3">
        <f t="shared" si="48"/>
        <v>25519736986.301369</v>
      </c>
      <c r="W197" s="3">
        <f t="shared" si="49"/>
        <v>94209201280.648712</v>
      </c>
      <c r="X197" s="3">
        <f t="shared" si="50"/>
        <v>34386358467436.781</v>
      </c>
      <c r="Y197" s="3">
        <f t="shared" si="51"/>
        <v>256478206675203.59</v>
      </c>
      <c r="AK197">
        <v>32.169499999999999</v>
      </c>
      <c r="AL197">
        <v>1000000</v>
      </c>
      <c r="AM197">
        <f t="shared" si="52"/>
        <v>32169500</v>
      </c>
      <c r="AN197">
        <v>27.344999999999999</v>
      </c>
      <c r="AO197">
        <v>1000000</v>
      </c>
      <c r="AP197">
        <f t="shared" si="53"/>
        <v>27345000</v>
      </c>
    </row>
    <row r="198" spans="1:42" x14ac:dyDescent="0.4">
      <c r="A198">
        <v>187</v>
      </c>
      <c r="B198" s="2">
        <v>78096000</v>
      </c>
      <c r="C198" s="2">
        <v>34249100</v>
      </c>
      <c r="D198" s="2">
        <f>IF(B198&lt;2500000,2500000,B198)</f>
        <v>78096000</v>
      </c>
      <c r="E198" s="2">
        <v>79444700</v>
      </c>
      <c r="F198" s="2">
        <v>27741800</v>
      </c>
      <c r="G198" s="2">
        <v>24720000</v>
      </c>
      <c r="H198" s="2">
        <v>25775892.695461109</v>
      </c>
      <c r="I198" s="2">
        <f>354.78*(100000)</f>
        <v>35478000</v>
      </c>
      <c r="J198" s="2">
        <f t="shared" si="36"/>
        <v>42618000</v>
      </c>
      <c r="K198" s="2">
        <f t="shared" si="37"/>
        <v>1228900</v>
      </c>
      <c r="L198" s="2">
        <f t="shared" si="38"/>
        <v>42618000</v>
      </c>
      <c r="M198" s="2">
        <f t="shared" si="39"/>
        <v>43966700</v>
      </c>
      <c r="N198" s="2">
        <f t="shared" si="40"/>
        <v>7736200</v>
      </c>
      <c r="O198" s="2">
        <f t="shared" si="41"/>
        <v>10758000</v>
      </c>
      <c r="P198" s="2">
        <f t="shared" si="42"/>
        <v>9702107.3045388907</v>
      </c>
      <c r="Q198" s="3">
        <f t="shared" si="43"/>
        <v>4976147736986.3018</v>
      </c>
      <c r="R198" s="3">
        <f t="shared" si="44"/>
        <v>4137521123.2876711</v>
      </c>
      <c r="S198" s="3">
        <f t="shared" si="45"/>
        <v>4976147736986.3018</v>
      </c>
      <c r="T198" s="3">
        <f t="shared" si="46"/>
        <v>5296084133945.2051</v>
      </c>
      <c r="U198" s="3">
        <f t="shared" si="47"/>
        <v>163969288876.71234</v>
      </c>
      <c r="V198" s="3">
        <f t="shared" si="48"/>
        <v>317080997260.27399</v>
      </c>
      <c r="W198" s="3">
        <f t="shared" si="49"/>
        <v>257892838763.79974</v>
      </c>
      <c r="X198" s="3">
        <f t="shared" si="50"/>
        <v>94130886148786.906</v>
      </c>
      <c r="Y198" s="3">
        <f t="shared" si="51"/>
        <v>739836572058765.25</v>
      </c>
      <c r="AK198">
        <v>27.741800000000001</v>
      </c>
      <c r="AL198">
        <v>1000000</v>
      </c>
      <c r="AM198">
        <f t="shared" si="52"/>
        <v>27741800</v>
      </c>
      <c r="AN198">
        <v>24.72</v>
      </c>
      <c r="AO198">
        <v>1000000</v>
      </c>
      <c r="AP198">
        <f t="shared" si="53"/>
        <v>24720000</v>
      </c>
    </row>
    <row r="199" spans="1:42" x14ac:dyDescent="0.4">
      <c r="A199">
        <v>188</v>
      </c>
      <c r="B199" s="2">
        <v>73687200</v>
      </c>
      <c r="C199" s="2">
        <v>62301200</v>
      </c>
      <c r="D199" s="2">
        <f>IF(B199&lt;2500000,2500000,B199)</f>
        <v>73687200</v>
      </c>
      <c r="E199" s="2">
        <v>74972500</v>
      </c>
      <c r="F199" s="2">
        <v>27594300</v>
      </c>
      <c r="G199" s="2">
        <v>24906400</v>
      </c>
      <c r="H199" s="2">
        <v>48531357.673746623</v>
      </c>
      <c r="I199" s="2">
        <f>345.04*(100000)</f>
        <v>34504000</v>
      </c>
      <c r="J199" s="2">
        <f t="shared" si="36"/>
        <v>39183200</v>
      </c>
      <c r="K199" s="2">
        <f t="shared" si="37"/>
        <v>27797200</v>
      </c>
      <c r="L199" s="2">
        <f t="shared" si="38"/>
        <v>39183200</v>
      </c>
      <c r="M199" s="2">
        <f t="shared" si="39"/>
        <v>40468500</v>
      </c>
      <c r="N199" s="2">
        <f t="shared" si="40"/>
        <v>6909700</v>
      </c>
      <c r="O199" s="2">
        <f t="shared" si="41"/>
        <v>9597600</v>
      </c>
      <c r="P199" s="2">
        <f t="shared" si="42"/>
        <v>14027357.673746623</v>
      </c>
      <c r="Q199" s="3">
        <f t="shared" si="43"/>
        <v>4206364828054.7944</v>
      </c>
      <c r="R199" s="3">
        <f t="shared" si="44"/>
        <v>2116943363945.2056</v>
      </c>
      <c r="S199" s="3">
        <f t="shared" si="45"/>
        <v>4206364828054.7944</v>
      </c>
      <c r="T199" s="3">
        <f t="shared" si="46"/>
        <v>4486847923972.6025</v>
      </c>
      <c r="U199" s="3">
        <f t="shared" si="47"/>
        <v>130805353671.23288</v>
      </c>
      <c r="V199" s="3">
        <f t="shared" si="48"/>
        <v>252366919890.41095</v>
      </c>
      <c r="W199" s="3">
        <f t="shared" si="49"/>
        <v>539087022759.50214</v>
      </c>
      <c r="X199" s="3">
        <f t="shared" si="50"/>
        <v>196766763307218.28</v>
      </c>
      <c r="Y199" s="3">
        <f t="shared" si="51"/>
        <v>687799770809450.13</v>
      </c>
      <c r="AK199">
        <v>27.5943</v>
      </c>
      <c r="AL199">
        <v>1000000</v>
      </c>
      <c r="AM199">
        <f t="shared" si="52"/>
        <v>27594300</v>
      </c>
      <c r="AN199">
        <v>24.906400000000001</v>
      </c>
      <c r="AO199">
        <v>1000000</v>
      </c>
      <c r="AP199">
        <f t="shared" si="53"/>
        <v>24906400</v>
      </c>
    </row>
    <row r="200" spans="1:42" x14ac:dyDescent="0.4">
      <c r="A200">
        <v>189</v>
      </c>
      <c r="B200" s="2">
        <v>65193200.000000007</v>
      </c>
      <c r="C200" s="2">
        <v>44299300</v>
      </c>
      <c r="D200" s="2">
        <f>IF(B200&lt;2500000,2500000,B200)</f>
        <v>65193200.000000007</v>
      </c>
      <c r="E200" s="2">
        <v>65923000</v>
      </c>
      <c r="F200" s="2">
        <v>29437700</v>
      </c>
      <c r="G200" s="2">
        <v>23395700</v>
      </c>
      <c r="H200" s="2">
        <v>26762874.906506378</v>
      </c>
      <c r="I200" s="2">
        <f>1064.74*(100000)</f>
        <v>106474000</v>
      </c>
      <c r="J200" s="2">
        <f t="shared" si="36"/>
        <v>41280799.999999993</v>
      </c>
      <c r="K200" s="2">
        <f t="shared" si="37"/>
        <v>62174700</v>
      </c>
      <c r="L200" s="2">
        <f t="shared" si="38"/>
        <v>41280799.999999993</v>
      </c>
      <c r="M200" s="2">
        <f t="shared" si="39"/>
        <v>40551000</v>
      </c>
      <c r="N200" s="2">
        <f t="shared" si="40"/>
        <v>77036300</v>
      </c>
      <c r="O200" s="2">
        <f t="shared" si="41"/>
        <v>83078300</v>
      </c>
      <c r="P200" s="2">
        <f t="shared" si="42"/>
        <v>79711125.093493626</v>
      </c>
      <c r="Q200" s="3">
        <f t="shared" si="43"/>
        <v>4668779311342.4648</v>
      </c>
      <c r="R200" s="3">
        <f t="shared" si="44"/>
        <v>10590940602986.301</v>
      </c>
      <c r="S200" s="3">
        <f t="shared" si="45"/>
        <v>4668779311342.4648</v>
      </c>
      <c r="T200" s="3">
        <f t="shared" si="46"/>
        <v>4505160550684.9316</v>
      </c>
      <c r="U200" s="3">
        <f t="shared" si="47"/>
        <v>16259154842986.301</v>
      </c>
      <c r="V200" s="3">
        <f t="shared" si="48"/>
        <v>18909599810657.535</v>
      </c>
      <c r="W200" s="3">
        <f t="shared" si="49"/>
        <v>17407845105946.818</v>
      </c>
      <c r="X200" s="3">
        <f t="shared" si="50"/>
        <v>6353863463670589</v>
      </c>
      <c r="Y200" s="3">
        <f t="shared" si="51"/>
        <v>9642442040617668</v>
      </c>
      <c r="AK200">
        <v>29.4377</v>
      </c>
      <c r="AL200">
        <v>1000000</v>
      </c>
      <c r="AM200">
        <f t="shared" si="52"/>
        <v>29437700</v>
      </c>
      <c r="AN200">
        <v>23.395700000000001</v>
      </c>
      <c r="AO200">
        <v>1000000</v>
      </c>
      <c r="AP200">
        <f t="shared" si="53"/>
        <v>23395700</v>
      </c>
    </row>
    <row r="201" spans="1:42" x14ac:dyDescent="0.4">
      <c r="A201">
        <v>190</v>
      </c>
      <c r="B201" s="2">
        <v>81856200</v>
      </c>
      <c r="C201" s="2">
        <v>148335000</v>
      </c>
      <c r="D201" s="2">
        <f>IF(B201&lt;2500000,2500000,B201)</f>
        <v>81856200</v>
      </c>
      <c r="E201" s="2">
        <v>84134300</v>
      </c>
      <c r="F201" s="2">
        <v>31469000</v>
      </c>
      <c r="G201" s="2">
        <v>28001000</v>
      </c>
      <c r="H201" s="2">
        <v>124309489.74815249</v>
      </c>
      <c r="I201" s="2">
        <f>2192.99*(100000)</f>
        <v>219298999.99999997</v>
      </c>
      <c r="J201" s="2">
        <f t="shared" si="36"/>
        <v>137442799.99999997</v>
      </c>
      <c r="K201" s="2">
        <f t="shared" si="37"/>
        <v>70963999.99999997</v>
      </c>
      <c r="L201" s="2">
        <f t="shared" si="38"/>
        <v>137442799.99999997</v>
      </c>
      <c r="M201" s="2">
        <f t="shared" si="39"/>
        <v>135164699.99999997</v>
      </c>
      <c r="N201" s="2">
        <f t="shared" si="40"/>
        <v>187829999.99999997</v>
      </c>
      <c r="O201" s="2">
        <f t="shared" si="41"/>
        <v>191297999.99999997</v>
      </c>
      <c r="P201" s="2">
        <f t="shared" si="42"/>
        <v>94989510.251847476</v>
      </c>
      <c r="Q201" s="3">
        <f t="shared" si="43"/>
        <v>51754858279013.68</v>
      </c>
      <c r="R201" s="3">
        <f t="shared" si="44"/>
        <v>13796956975342.455</v>
      </c>
      <c r="S201" s="3">
        <f t="shared" si="45"/>
        <v>51754858279013.68</v>
      </c>
      <c r="T201" s="3">
        <f t="shared" si="46"/>
        <v>50053414044082.172</v>
      </c>
      <c r="U201" s="3">
        <f t="shared" si="47"/>
        <v>96657832602739.688</v>
      </c>
      <c r="V201" s="3">
        <f t="shared" si="48"/>
        <v>100260067956164.36</v>
      </c>
      <c r="W201" s="3">
        <f t="shared" si="49"/>
        <v>24720567281879.004</v>
      </c>
      <c r="X201" s="3">
        <f t="shared" si="50"/>
        <v>9023007057885836</v>
      </c>
      <c r="Y201" s="3">
        <f t="shared" si="51"/>
        <v>4.452983584657656E+16</v>
      </c>
      <c r="AK201">
        <v>31.469000000000001</v>
      </c>
      <c r="AL201">
        <v>1000000</v>
      </c>
      <c r="AM201">
        <f t="shared" si="52"/>
        <v>31469000</v>
      </c>
      <c r="AN201">
        <v>28.001000000000001</v>
      </c>
      <c r="AO201">
        <v>1000000</v>
      </c>
      <c r="AP201">
        <f t="shared" si="53"/>
        <v>28001000</v>
      </c>
    </row>
    <row r="202" spans="1:42" x14ac:dyDescent="0.4">
      <c r="A202">
        <v>191</v>
      </c>
      <c r="B202" s="2">
        <v>209583000</v>
      </c>
      <c r="C202" s="2">
        <v>317268000</v>
      </c>
      <c r="D202" s="2">
        <f>IF(B202&lt;2500000,2500000,B202)</f>
        <v>209583000</v>
      </c>
      <c r="E202" s="2">
        <v>207173000</v>
      </c>
      <c r="F202" s="2">
        <v>51798800</v>
      </c>
      <c r="G202" s="2">
        <v>55950600</v>
      </c>
      <c r="H202" s="2">
        <v>230387474.56759089</v>
      </c>
      <c r="I202" s="2">
        <f>569.12*(100000)</f>
        <v>56912000</v>
      </c>
      <c r="J202" s="2">
        <f t="shared" si="36"/>
        <v>152671000</v>
      </c>
      <c r="K202" s="2">
        <f t="shared" si="37"/>
        <v>260356000</v>
      </c>
      <c r="L202" s="2">
        <f t="shared" si="38"/>
        <v>152671000</v>
      </c>
      <c r="M202" s="2">
        <f t="shared" si="39"/>
        <v>150261000</v>
      </c>
      <c r="N202" s="2">
        <f t="shared" si="40"/>
        <v>5113200</v>
      </c>
      <c r="O202" s="2">
        <f t="shared" si="41"/>
        <v>961400</v>
      </c>
      <c r="P202" s="2">
        <f t="shared" si="42"/>
        <v>173475474.56759089</v>
      </c>
      <c r="Q202" s="3">
        <f t="shared" si="43"/>
        <v>63858723947945.203</v>
      </c>
      <c r="R202" s="3">
        <f t="shared" si="44"/>
        <v>185713004756164.38</v>
      </c>
      <c r="S202" s="3">
        <f t="shared" si="45"/>
        <v>63858723947945.203</v>
      </c>
      <c r="T202" s="3">
        <f t="shared" si="46"/>
        <v>61858542797260.273</v>
      </c>
      <c r="U202" s="3">
        <f t="shared" si="47"/>
        <v>71629628054.794525</v>
      </c>
      <c r="V202" s="3">
        <f t="shared" si="48"/>
        <v>2532301260.2739725</v>
      </c>
      <c r="W202" s="3">
        <f t="shared" si="49"/>
        <v>82448603497125.688</v>
      </c>
      <c r="X202" s="3">
        <f t="shared" si="50"/>
        <v>3.0093740276450876E+16</v>
      </c>
      <c r="Y202" s="3">
        <f t="shared" si="51"/>
        <v>2365259826787532.5</v>
      </c>
      <c r="AK202">
        <v>51.7988</v>
      </c>
      <c r="AL202">
        <v>1000000</v>
      </c>
      <c r="AM202">
        <f t="shared" si="52"/>
        <v>51798800</v>
      </c>
      <c r="AN202">
        <v>55.950600000000001</v>
      </c>
      <c r="AO202">
        <v>1000000</v>
      </c>
      <c r="AP202">
        <f t="shared" si="53"/>
        <v>55950600</v>
      </c>
    </row>
    <row r="203" spans="1:42" x14ac:dyDescent="0.4">
      <c r="A203">
        <v>192</v>
      </c>
      <c r="B203" s="2">
        <v>154499000</v>
      </c>
      <c r="C203" s="2">
        <v>144907000</v>
      </c>
      <c r="D203" s="2">
        <f>IF(B203&lt;2500000,2500000,B203)</f>
        <v>154499000</v>
      </c>
      <c r="E203" s="2">
        <v>147883000</v>
      </c>
      <c r="F203" s="2">
        <v>38552300</v>
      </c>
      <c r="G203" s="2">
        <v>41309400</v>
      </c>
      <c r="H203" s="2">
        <v>30531860.499260619</v>
      </c>
      <c r="I203" s="2">
        <f>331.98*(100000)</f>
        <v>33198000</v>
      </c>
      <c r="J203" s="2">
        <f t="shared" si="36"/>
        <v>121301000</v>
      </c>
      <c r="K203" s="2">
        <f t="shared" si="37"/>
        <v>111709000</v>
      </c>
      <c r="L203" s="2">
        <f t="shared" si="38"/>
        <v>121301000</v>
      </c>
      <c r="M203" s="2">
        <f t="shared" si="39"/>
        <v>114685000</v>
      </c>
      <c r="N203" s="2">
        <f t="shared" si="40"/>
        <v>5354300</v>
      </c>
      <c r="O203" s="2">
        <f t="shared" si="41"/>
        <v>8111400</v>
      </c>
      <c r="P203" s="2">
        <f t="shared" si="42"/>
        <v>2666139.5007393807</v>
      </c>
      <c r="Q203" s="3">
        <f t="shared" si="43"/>
        <v>40312144112328.766</v>
      </c>
      <c r="R203" s="3">
        <f t="shared" si="44"/>
        <v>34188768989041.098</v>
      </c>
      <c r="S203" s="3">
        <f t="shared" si="45"/>
        <v>40312144112328.766</v>
      </c>
      <c r="T203" s="3">
        <f t="shared" si="46"/>
        <v>36034655410958.906</v>
      </c>
      <c r="U203" s="3">
        <f t="shared" si="47"/>
        <v>78543913671.23288</v>
      </c>
      <c r="V203" s="3">
        <f t="shared" si="48"/>
        <v>180259753315.06848</v>
      </c>
      <c r="W203" s="3">
        <f t="shared" si="49"/>
        <v>19474794075.076256</v>
      </c>
      <c r="X203" s="3">
        <f t="shared" si="50"/>
        <v>7108299837402.834</v>
      </c>
      <c r="Y203" s="3">
        <f t="shared" si="51"/>
        <v>621003259401231</v>
      </c>
      <c r="AK203">
        <v>38.552300000000002</v>
      </c>
      <c r="AL203">
        <v>1000000</v>
      </c>
      <c r="AM203">
        <f t="shared" si="52"/>
        <v>38552300</v>
      </c>
      <c r="AN203">
        <v>41.309399999999997</v>
      </c>
      <c r="AO203">
        <v>1000000</v>
      </c>
      <c r="AP203">
        <f t="shared" si="53"/>
        <v>41309400</v>
      </c>
    </row>
    <row r="204" spans="1:42" x14ac:dyDescent="0.4">
      <c r="A204">
        <v>193</v>
      </c>
      <c r="B204" s="2">
        <v>112384000</v>
      </c>
      <c r="C204" s="2">
        <v>182804000</v>
      </c>
      <c r="D204" s="2">
        <f>IF(B204&lt;2500000,2500000,B204)</f>
        <v>112384000</v>
      </c>
      <c r="E204" s="2">
        <v>116878000</v>
      </c>
      <c r="F204" s="2">
        <v>42059500</v>
      </c>
      <c r="G204" s="2">
        <v>36841700</v>
      </c>
      <c r="H204" s="2">
        <v>109211134.903568</v>
      </c>
      <c r="I204" s="2">
        <f>240.02*(100000)</f>
        <v>24002000</v>
      </c>
      <c r="J204" s="2">
        <f t="shared" ref="J204:J267" si="54">ABS(I204-B204)</f>
        <v>88382000</v>
      </c>
      <c r="K204" s="2">
        <f t="shared" ref="K204:K267" si="55">ABS(I204-C204)</f>
        <v>158802000</v>
      </c>
      <c r="L204" s="2">
        <f t="shared" ref="L204:L267" si="56">ABS(I204-D204)</f>
        <v>88382000</v>
      </c>
      <c r="M204" s="2">
        <f t="shared" ref="M204:M267" si="57">ABS($I204-E204)</f>
        <v>92876000</v>
      </c>
      <c r="N204" s="2">
        <f t="shared" ref="N204:N267" si="58">ABS($I204-F204)</f>
        <v>18057500</v>
      </c>
      <c r="O204" s="2">
        <f t="shared" ref="O204:O267" si="59">ABS($I204-G204)</f>
        <v>12839700</v>
      </c>
      <c r="P204" s="2">
        <f t="shared" ref="P204:P267" si="60">ABS(I204-H204)</f>
        <v>85209134.903568</v>
      </c>
      <c r="Q204" s="3">
        <f t="shared" ref="Q204:Q267" si="61">J204^2/COUNT($A$11:$A$375)</f>
        <v>21401035408219.18</v>
      </c>
      <c r="R204" s="3">
        <f t="shared" ref="R204:R267" si="62">K204^2/COUNT($A$11:$A$375)</f>
        <v>69090616997260.273</v>
      </c>
      <c r="S204" s="3">
        <f t="shared" ref="S204:S267" si="63">L204^2/COUNT($A$11:$A$375)</f>
        <v>21401035408219.18</v>
      </c>
      <c r="T204" s="3">
        <f t="shared" ref="T204:T267" si="64">M204^2/COUNT($A$11:$A$375)</f>
        <v>23632743495890.41</v>
      </c>
      <c r="U204" s="3">
        <f t="shared" ref="U204:U267" si="65">N204^2/COUNT($A$11:$A$375)</f>
        <v>893351523972.60278</v>
      </c>
      <c r="V204" s="3">
        <f t="shared" ref="V204:V267" si="66">O204^2/COUNT($A$11:$A$375)</f>
        <v>451665468739.72601</v>
      </c>
      <c r="W204" s="3">
        <f t="shared" ref="W204:W267" si="67">P204^2/COUNT($A$11:$A$375)</f>
        <v>19892045674012.191</v>
      </c>
      <c r="X204" s="3">
        <f t="shared" ref="X204:X267" si="68">P204^2</f>
        <v>7260596671014450</v>
      </c>
      <c r="Y204" s="3">
        <f t="shared" ref="Y204:Y267" si="69">(I204-AVERAGE($I$11:$I$375))^2</f>
        <v>247242194349176.22</v>
      </c>
      <c r="AK204">
        <v>42.0595</v>
      </c>
      <c r="AL204">
        <v>1000000</v>
      </c>
      <c r="AM204">
        <f t="shared" ref="AM204:AM267" si="70">IF(AL204="",AK204,AK204*AL204)</f>
        <v>42059500</v>
      </c>
      <c r="AN204">
        <v>36.841700000000003</v>
      </c>
      <c r="AO204">
        <v>1000000</v>
      </c>
      <c r="AP204">
        <f t="shared" ref="AP204:AP267" si="71">IF(AO204="",AN204,AN204*AO204)</f>
        <v>36841700</v>
      </c>
    </row>
    <row r="205" spans="1:42" x14ac:dyDescent="0.4">
      <c r="A205">
        <v>194</v>
      </c>
      <c r="B205" s="2">
        <v>102597000</v>
      </c>
      <c r="C205" s="2">
        <v>89947200</v>
      </c>
      <c r="D205" s="2">
        <f>IF(B205&lt;2500000,2500000,B205)</f>
        <v>102597000</v>
      </c>
      <c r="E205" s="2">
        <v>105675000</v>
      </c>
      <c r="F205" s="2">
        <v>37168900</v>
      </c>
      <c r="G205" s="2">
        <v>34670600</v>
      </c>
      <c r="H205" s="2">
        <v>32201695.75684477</v>
      </c>
      <c r="I205" s="2">
        <f>189.17*(100000)</f>
        <v>18917000</v>
      </c>
      <c r="J205" s="2">
        <f t="shared" si="54"/>
        <v>83680000</v>
      </c>
      <c r="K205" s="2">
        <f t="shared" si="55"/>
        <v>71030200</v>
      </c>
      <c r="L205" s="2">
        <f t="shared" si="56"/>
        <v>83680000</v>
      </c>
      <c r="M205" s="2">
        <f t="shared" si="57"/>
        <v>86758000</v>
      </c>
      <c r="N205" s="2">
        <f t="shared" si="58"/>
        <v>18251900</v>
      </c>
      <c r="O205" s="2">
        <f t="shared" si="59"/>
        <v>15753600</v>
      </c>
      <c r="P205" s="2">
        <f t="shared" si="60"/>
        <v>13284695.75684477</v>
      </c>
      <c r="Q205" s="3">
        <f t="shared" si="61"/>
        <v>19184499726027.398</v>
      </c>
      <c r="R205" s="3">
        <f t="shared" si="62"/>
        <v>13822710443945.205</v>
      </c>
      <c r="S205" s="3">
        <f t="shared" si="63"/>
        <v>19184499726027.398</v>
      </c>
      <c r="T205" s="3">
        <f t="shared" si="64"/>
        <v>20621782367123.289</v>
      </c>
      <c r="U205" s="3">
        <f t="shared" si="65"/>
        <v>912690009890.41101</v>
      </c>
      <c r="V205" s="3">
        <f t="shared" si="66"/>
        <v>679934008109.58899</v>
      </c>
      <c r="W205" s="3">
        <f t="shared" si="67"/>
        <v>483515455758.71082</v>
      </c>
      <c r="X205" s="3">
        <f t="shared" si="68"/>
        <v>176483141351929.44</v>
      </c>
      <c r="Y205" s="3">
        <f t="shared" si="69"/>
        <v>113186980198491.28</v>
      </c>
      <c r="AK205">
        <v>37.168900000000001</v>
      </c>
      <c r="AL205">
        <v>1000000</v>
      </c>
      <c r="AM205">
        <f t="shared" si="70"/>
        <v>37168900</v>
      </c>
      <c r="AN205">
        <v>34.6706</v>
      </c>
      <c r="AO205">
        <v>1000000</v>
      </c>
      <c r="AP205">
        <f t="shared" si="71"/>
        <v>34670600</v>
      </c>
    </row>
    <row r="206" spans="1:42" x14ac:dyDescent="0.4">
      <c r="A206">
        <v>195</v>
      </c>
      <c r="B206" s="2">
        <v>87174400</v>
      </c>
      <c r="C206" s="2">
        <v>38435300</v>
      </c>
      <c r="D206" s="2">
        <f>IF(B206&lt;2500000,2500000,B206)</f>
        <v>87174400</v>
      </c>
      <c r="E206" s="2">
        <v>88735400</v>
      </c>
      <c r="F206" s="2">
        <v>36769300</v>
      </c>
      <c r="G206" s="2">
        <v>30828500</v>
      </c>
      <c r="H206" s="2">
        <v>26862127.955863111</v>
      </c>
      <c r="I206" s="2">
        <f>152.88*(100000)</f>
        <v>15288000</v>
      </c>
      <c r="J206" s="2">
        <f t="shared" si="54"/>
        <v>71886400</v>
      </c>
      <c r="K206" s="2">
        <f t="shared" si="55"/>
        <v>23147300</v>
      </c>
      <c r="L206" s="2">
        <f t="shared" si="56"/>
        <v>71886400</v>
      </c>
      <c r="M206" s="2">
        <f t="shared" si="57"/>
        <v>73447400</v>
      </c>
      <c r="N206" s="2">
        <f t="shared" si="58"/>
        <v>21481300</v>
      </c>
      <c r="O206" s="2">
        <f t="shared" si="59"/>
        <v>15540500</v>
      </c>
      <c r="P206" s="2">
        <f t="shared" si="60"/>
        <v>11574127.955863111</v>
      </c>
      <c r="Q206" s="3">
        <f t="shared" si="61"/>
        <v>14157957547835.617</v>
      </c>
      <c r="R206" s="3">
        <f t="shared" si="62"/>
        <v>1467938348739.7261</v>
      </c>
      <c r="S206" s="3">
        <f t="shared" si="63"/>
        <v>14157957547835.617</v>
      </c>
      <c r="T206" s="3">
        <f t="shared" si="64"/>
        <v>14779508402082.191</v>
      </c>
      <c r="U206" s="3">
        <f t="shared" si="65"/>
        <v>1264236300520.5479</v>
      </c>
      <c r="V206" s="3">
        <f t="shared" si="66"/>
        <v>661663397945.20544</v>
      </c>
      <c r="W206" s="3">
        <f t="shared" si="67"/>
        <v>367014898462.1698</v>
      </c>
      <c r="X206" s="3">
        <f t="shared" si="68"/>
        <v>133960437938691.98</v>
      </c>
      <c r="Y206" s="3">
        <f t="shared" si="69"/>
        <v>49139216551915.93</v>
      </c>
      <c r="AK206">
        <v>36.769300000000001</v>
      </c>
      <c r="AL206">
        <v>1000000</v>
      </c>
      <c r="AM206">
        <f t="shared" si="70"/>
        <v>36769300</v>
      </c>
      <c r="AN206">
        <v>30.828499999999998</v>
      </c>
      <c r="AO206">
        <v>1000000</v>
      </c>
      <c r="AP206">
        <f t="shared" si="71"/>
        <v>30828500</v>
      </c>
    </row>
    <row r="207" spans="1:42" x14ac:dyDescent="0.4">
      <c r="A207">
        <v>196</v>
      </c>
      <c r="B207" s="2">
        <v>72589700</v>
      </c>
      <c r="C207" s="2">
        <v>26084100</v>
      </c>
      <c r="D207" s="2">
        <f>IF(B207&lt;2500000,2500000,B207)</f>
        <v>72589700</v>
      </c>
      <c r="E207" s="2">
        <v>73150600</v>
      </c>
      <c r="F207" s="2">
        <v>28577600</v>
      </c>
      <c r="G207" s="2">
        <v>27626000</v>
      </c>
      <c r="H207" s="2">
        <v>23813069.07865582</v>
      </c>
      <c r="I207" s="2">
        <f>132.65*(100000)</f>
        <v>13265000</v>
      </c>
      <c r="J207" s="2">
        <f t="shared" si="54"/>
        <v>59324700</v>
      </c>
      <c r="K207" s="2">
        <f t="shared" si="55"/>
        <v>12819100</v>
      </c>
      <c r="L207" s="2">
        <f t="shared" si="56"/>
        <v>59324700</v>
      </c>
      <c r="M207" s="2">
        <f t="shared" si="57"/>
        <v>59885600</v>
      </c>
      <c r="N207" s="2">
        <f t="shared" si="58"/>
        <v>15312600</v>
      </c>
      <c r="O207" s="2">
        <f t="shared" si="59"/>
        <v>14361000</v>
      </c>
      <c r="P207" s="2">
        <f t="shared" si="60"/>
        <v>10548069.07865582</v>
      </c>
      <c r="Q207" s="3">
        <f t="shared" si="61"/>
        <v>9642246657780.8223</v>
      </c>
      <c r="R207" s="3">
        <f t="shared" si="62"/>
        <v>450217328246.57532</v>
      </c>
      <c r="S207" s="3">
        <f t="shared" si="63"/>
        <v>9642246657780.8223</v>
      </c>
      <c r="T207" s="3">
        <f t="shared" si="64"/>
        <v>9825438595506.8496</v>
      </c>
      <c r="U207" s="3">
        <f t="shared" si="65"/>
        <v>642399229479.45203</v>
      </c>
      <c r="V207" s="3">
        <f t="shared" si="66"/>
        <v>565036495890.41101</v>
      </c>
      <c r="W207" s="3">
        <f t="shared" si="67"/>
        <v>304826743255.05493</v>
      </c>
      <c r="X207" s="3">
        <f t="shared" si="68"/>
        <v>111261761288095.05</v>
      </c>
      <c r="Y207" s="3">
        <f t="shared" si="69"/>
        <v>24869540505340.59</v>
      </c>
      <c r="AK207">
        <v>28.5776</v>
      </c>
      <c r="AL207">
        <v>1000000</v>
      </c>
      <c r="AM207">
        <f t="shared" si="70"/>
        <v>28577600</v>
      </c>
      <c r="AN207">
        <v>27.626000000000001</v>
      </c>
      <c r="AO207">
        <v>1000000</v>
      </c>
      <c r="AP207">
        <f t="shared" si="71"/>
        <v>27626000</v>
      </c>
    </row>
    <row r="208" spans="1:42" x14ac:dyDescent="0.4">
      <c r="A208">
        <v>197</v>
      </c>
      <c r="B208" s="2">
        <v>58841400</v>
      </c>
      <c r="C208" s="2">
        <v>8771820</v>
      </c>
      <c r="D208" s="2">
        <f>IF(B208&lt;2500000,2500000,B208)</f>
        <v>58841400</v>
      </c>
      <c r="E208" s="2">
        <v>58621800</v>
      </c>
      <c r="F208" s="2">
        <v>24971500</v>
      </c>
      <c r="G208" s="2">
        <v>24676600</v>
      </c>
      <c r="H208" s="2">
        <v>20106626.31318032</v>
      </c>
      <c r="I208" s="2">
        <f>114.68*(100000)</f>
        <v>11468000</v>
      </c>
      <c r="J208" s="2">
        <f t="shared" si="54"/>
        <v>47373400</v>
      </c>
      <c r="K208" s="2">
        <f t="shared" si="55"/>
        <v>2696180</v>
      </c>
      <c r="L208" s="2">
        <f t="shared" si="56"/>
        <v>47373400</v>
      </c>
      <c r="M208" s="2">
        <f t="shared" si="57"/>
        <v>47153800</v>
      </c>
      <c r="N208" s="2">
        <f t="shared" si="58"/>
        <v>13503500</v>
      </c>
      <c r="O208" s="2">
        <f t="shared" si="59"/>
        <v>13208600</v>
      </c>
      <c r="P208" s="2">
        <f t="shared" si="60"/>
        <v>8638626.31318032</v>
      </c>
      <c r="Q208" s="3">
        <f t="shared" si="61"/>
        <v>6148600075506.8496</v>
      </c>
      <c r="R208" s="3">
        <f t="shared" si="62"/>
        <v>19916127650.410957</v>
      </c>
      <c r="S208" s="3">
        <f t="shared" si="63"/>
        <v>6148600075506.8496</v>
      </c>
      <c r="T208" s="3">
        <f t="shared" si="64"/>
        <v>6091728368328.7676</v>
      </c>
      <c r="U208" s="3">
        <f t="shared" si="65"/>
        <v>499574006164.38354</v>
      </c>
      <c r="V208" s="3">
        <f t="shared" si="66"/>
        <v>477992093041.09589</v>
      </c>
      <c r="W208" s="3">
        <f t="shared" si="67"/>
        <v>204454423503.48331</v>
      </c>
      <c r="X208" s="3">
        <f t="shared" si="68"/>
        <v>74625864578771.406</v>
      </c>
      <c r="Y208" s="3">
        <f t="shared" si="69"/>
        <v>10175697976573.467</v>
      </c>
      <c r="AK208">
        <v>24.971499999999999</v>
      </c>
      <c r="AL208">
        <v>1000000</v>
      </c>
      <c r="AM208">
        <f t="shared" si="70"/>
        <v>24971500</v>
      </c>
      <c r="AN208">
        <v>24.676600000000001</v>
      </c>
      <c r="AO208">
        <v>1000000</v>
      </c>
      <c r="AP208">
        <f t="shared" si="71"/>
        <v>24676600</v>
      </c>
    </row>
    <row r="209" spans="1:42" x14ac:dyDescent="0.4">
      <c r="A209">
        <v>198</v>
      </c>
      <c r="B209" s="2">
        <v>47219500</v>
      </c>
      <c r="C209" s="2">
        <v>3990420</v>
      </c>
      <c r="D209" s="2">
        <f>IF(B209&lt;2500000,2500000,B209)</f>
        <v>47219500</v>
      </c>
      <c r="E209" s="2">
        <v>46466400</v>
      </c>
      <c r="F209" s="2">
        <v>21924100</v>
      </c>
      <c r="G209" s="2">
        <v>22074300</v>
      </c>
      <c r="H209" s="2">
        <v>17081019.75706232</v>
      </c>
      <c r="I209" s="2">
        <f>110.15*(100000)</f>
        <v>11015000</v>
      </c>
      <c r="J209" s="2">
        <f t="shared" si="54"/>
        <v>36204500</v>
      </c>
      <c r="K209" s="2">
        <f t="shared" si="55"/>
        <v>7024580</v>
      </c>
      <c r="L209" s="2">
        <f t="shared" si="56"/>
        <v>36204500</v>
      </c>
      <c r="M209" s="2">
        <f t="shared" si="57"/>
        <v>35451400</v>
      </c>
      <c r="N209" s="2">
        <f t="shared" si="58"/>
        <v>10909100</v>
      </c>
      <c r="O209" s="2">
        <f t="shared" si="59"/>
        <v>11059300</v>
      </c>
      <c r="P209" s="2">
        <f t="shared" si="60"/>
        <v>6066019.7570623197</v>
      </c>
      <c r="Q209" s="3">
        <f t="shared" si="61"/>
        <v>3591139233561.644</v>
      </c>
      <c r="R209" s="3">
        <f t="shared" si="62"/>
        <v>135191025140.82191</v>
      </c>
      <c r="S209" s="3">
        <f t="shared" si="63"/>
        <v>3591139233561.644</v>
      </c>
      <c r="T209" s="3">
        <f t="shared" si="64"/>
        <v>3443292498520.5479</v>
      </c>
      <c r="U209" s="3">
        <f t="shared" si="65"/>
        <v>326050583041.09589</v>
      </c>
      <c r="V209" s="3">
        <f t="shared" si="66"/>
        <v>335090730109.58905</v>
      </c>
      <c r="W209" s="3">
        <f t="shared" si="67"/>
        <v>100812590939.91891</v>
      </c>
      <c r="X209" s="3">
        <f t="shared" si="68"/>
        <v>36796595693070.406</v>
      </c>
      <c r="Y209" s="3">
        <f t="shared" si="69"/>
        <v>7490824066984.4258</v>
      </c>
      <c r="AK209">
        <v>21.924099999999999</v>
      </c>
      <c r="AL209">
        <v>1000000</v>
      </c>
      <c r="AM209">
        <f t="shared" si="70"/>
        <v>21924100</v>
      </c>
      <c r="AN209">
        <v>22.074300000000001</v>
      </c>
      <c r="AO209">
        <v>1000000</v>
      </c>
      <c r="AP209">
        <f t="shared" si="71"/>
        <v>22074300</v>
      </c>
    </row>
    <row r="210" spans="1:42" x14ac:dyDescent="0.4">
      <c r="A210">
        <v>199</v>
      </c>
      <c r="B210" s="2">
        <v>38248600</v>
      </c>
      <c r="C210" s="2">
        <v>4846620</v>
      </c>
      <c r="D210" s="2">
        <f>IF(B210&lt;2500000,2500000,B210)</f>
        <v>38248600</v>
      </c>
      <c r="E210" s="2">
        <v>37211700</v>
      </c>
      <c r="F210" s="2">
        <v>19561700</v>
      </c>
      <c r="G210" s="2">
        <v>19995200</v>
      </c>
      <c r="H210" s="2">
        <v>14771990.95450378</v>
      </c>
      <c r="I210" s="2">
        <f>118.63*(100000)</f>
        <v>11863000</v>
      </c>
      <c r="J210" s="2">
        <f t="shared" si="54"/>
        <v>26385600</v>
      </c>
      <c r="K210" s="2">
        <f t="shared" si="55"/>
        <v>7016380</v>
      </c>
      <c r="L210" s="2">
        <f t="shared" si="56"/>
        <v>26385600</v>
      </c>
      <c r="M210" s="2">
        <f t="shared" si="57"/>
        <v>25348700</v>
      </c>
      <c r="N210" s="2">
        <f t="shared" si="58"/>
        <v>7698700</v>
      </c>
      <c r="O210" s="2">
        <f t="shared" si="59"/>
        <v>8132200</v>
      </c>
      <c r="P210" s="2">
        <f t="shared" si="60"/>
        <v>2908990.9545037802</v>
      </c>
      <c r="Q210" s="3">
        <f t="shared" si="61"/>
        <v>1907396951671.2329</v>
      </c>
      <c r="R210" s="3">
        <f t="shared" si="62"/>
        <v>134875584395.61644</v>
      </c>
      <c r="S210" s="3">
        <f t="shared" si="63"/>
        <v>1907396951671.2329</v>
      </c>
      <c r="T210" s="3">
        <f t="shared" si="64"/>
        <v>1760429018328.7671</v>
      </c>
      <c r="U210" s="3">
        <f t="shared" si="65"/>
        <v>162383511479.45206</v>
      </c>
      <c r="V210" s="3">
        <f t="shared" si="66"/>
        <v>181185416000</v>
      </c>
      <c r="W210" s="3">
        <f t="shared" si="67"/>
        <v>23184187324.341957</v>
      </c>
      <c r="X210" s="3">
        <f t="shared" si="68"/>
        <v>8462228373384.8145</v>
      </c>
      <c r="Y210" s="3">
        <f t="shared" si="69"/>
        <v>12851773195751.549</v>
      </c>
      <c r="AK210">
        <v>19.561699999999998</v>
      </c>
      <c r="AL210">
        <v>1000000</v>
      </c>
      <c r="AM210">
        <f t="shared" si="70"/>
        <v>19561700</v>
      </c>
      <c r="AN210">
        <v>19.995200000000001</v>
      </c>
      <c r="AO210">
        <v>1000000</v>
      </c>
      <c r="AP210">
        <f t="shared" si="71"/>
        <v>19995200</v>
      </c>
    </row>
    <row r="211" spans="1:42" x14ac:dyDescent="0.4">
      <c r="A211">
        <v>200</v>
      </c>
      <c r="B211" s="2">
        <v>36543400</v>
      </c>
      <c r="C211" s="2">
        <v>30826800</v>
      </c>
      <c r="D211" s="2">
        <f>IF(B211&lt;2500000,2500000,B211)</f>
        <v>36543400</v>
      </c>
      <c r="E211" s="2">
        <v>35802200</v>
      </c>
      <c r="F211" s="2">
        <v>19404900</v>
      </c>
      <c r="G211" s="2">
        <v>19482200</v>
      </c>
      <c r="H211" s="2">
        <v>15549883.693770669</v>
      </c>
      <c r="I211" s="2">
        <f>113.13*(100000)</f>
        <v>11313000</v>
      </c>
      <c r="J211" s="2">
        <f t="shared" si="54"/>
        <v>25230400</v>
      </c>
      <c r="K211" s="2">
        <f t="shared" si="55"/>
        <v>19513800</v>
      </c>
      <c r="L211" s="2">
        <f t="shared" si="56"/>
        <v>25230400</v>
      </c>
      <c r="M211" s="2">
        <f t="shared" si="57"/>
        <v>24489200</v>
      </c>
      <c r="N211" s="2">
        <f t="shared" si="58"/>
        <v>8091900</v>
      </c>
      <c r="O211" s="2">
        <f t="shared" si="59"/>
        <v>8169200</v>
      </c>
      <c r="P211" s="2">
        <f t="shared" si="60"/>
        <v>4236883.6937706694</v>
      </c>
      <c r="Q211" s="3">
        <f t="shared" si="61"/>
        <v>1744035847013.6987</v>
      </c>
      <c r="R211" s="3">
        <f t="shared" si="62"/>
        <v>1043255864219.1781</v>
      </c>
      <c r="S211" s="3">
        <f t="shared" si="63"/>
        <v>1744035847013.6987</v>
      </c>
      <c r="T211" s="3">
        <f t="shared" si="64"/>
        <v>1643071004493.1506</v>
      </c>
      <c r="U211" s="3">
        <f t="shared" si="65"/>
        <v>179394097561.64383</v>
      </c>
      <c r="V211" s="3">
        <f t="shared" si="66"/>
        <v>182837886684.93152</v>
      </c>
      <c r="W211" s="3">
        <f t="shared" si="67"/>
        <v>49181324478.191216</v>
      </c>
      <c r="X211" s="3">
        <f t="shared" si="68"/>
        <v>17951183434539.793</v>
      </c>
      <c r="Y211" s="3">
        <f t="shared" si="69"/>
        <v>9210842510820.041</v>
      </c>
      <c r="AK211">
        <v>19.404900000000001</v>
      </c>
      <c r="AL211">
        <v>1000000</v>
      </c>
      <c r="AM211">
        <f t="shared" si="70"/>
        <v>19404900</v>
      </c>
      <c r="AN211">
        <v>19.482199999999999</v>
      </c>
      <c r="AO211">
        <v>1000000</v>
      </c>
      <c r="AP211">
        <f t="shared" si="71"/>
        <v>19482200</v>
      </c>
    </row>
    <row r="212" spans="1:42" x14ac:dyDescent="0.4">
      <c r="A212">
        <v>201</v>
      </c>
      <c r="B212" s="2">
        <v>30910100</v>
      </c>
      <c r="C212" s="2">
        <v>11637600</v>
      </c>
      <c r="D212" s="2">
        <f>IF(B212&lt;2500000,2500000,B212)</f>
        <v>30910100</v>
      </c>
      <c r="E212" s="2">
        <v>29956400</v>
      </c>
      <c r="F212" s="2">
        <v>17043500</v>
      </c>
      <c r="G212" s="2">
        <v>17902800</v>
      </c>
      <c r="H212" s="2">
        <v>12303390.367456039</v>
      </c>
      <c r="I212" s="2">
        <f>92.41*(100000)</f>
        <v>9241000</v>
      </c>
      <c r="J212" s="2">
        <f t="shared" si="54"/>
        <v>21669100</v>
      </c>
      <c r="K212" s="2">
        <f t="shared" si="55"/>
        <v>2396600</v>
      </c>
      <c r="L212" s="2">
        <f t="shared" si="56"/>
        <v>21669100</v>
      </c>
      <c r="M212" s="2">
        <f t="shared" si="57"/>
        <v>20715400</v>
      </c>
      <c r="N212" s="2">
        <f t="shared" si="58"/>
        <v>7802500</v>
      </c>
      <c r="O212" s="2">
        <f t="shared" si="59"/>
        <v>8661800</v>
      </c>
      <c r="P212" s="2">
        <f t="shared" si="60"/>
        <v>3062390.3674560394</v>
      </c>
      <c r="Q212" s="3">
        <f t="shared" si="61"/>
        <v>1286438067972.6028</v>
      </c>
      <c r="R212" s="3">
        <f t="shared" si="62"/>
        <v>15736141260.273973</v>
      </c>
      <c r="S212" s="3">
        <f t="shared" si="63"/>
        <v>1286438067972.6028</v>
      </c>
      <c r="T212" s="3">
        <f t="shared" si="64"/>
        <v>1175692594958.9041</v>
      </c>
      <c r="U212" s="3">
        <f t="shared" si="65"/>
        <v>166791797945.20547</v>
      </c>
      <c r="V212" s="3">
        <f t="shared" si="66"/>
        <v>205552819835.61642</v>
      </c>
      <c r="W212" s="3">
        <f t="shared" si="67"/>
        <v>25693793870.376808</v>
      </c>
      <c r="X212" s="3">
        <f t="shared" si="68"/>
        <v>9378234762687.5352</v>
      </c>
      <c r="Y212" s="3">
        <f t="shared" si="69"/>
        <v>927247639587.16479</v>
      </c>
      <c r="AK212">
        <v>17.043500000000002</v>
      </c>
      <c r="AL212">
        <v>1000000</v>
      </c>
      <c r="AM212">
        <f t="shared" si="70"/>
        <v>17043500</v>
      </c>
      <c r="AN212">
        <v>17.902799999999999</v>
      </c>
      <c r="AO212">
        <v>1000000</v>
      </c>
      <c r="AP212">
        <f t="shared" si="71"/>
        <v>17902800</v>
      </c>
    </row>
    <row r="213" spans="1:42" x14ac:dyDescent="0.4">
      <c r="A213">
        <v>202</v>
      </c>
      <c r="B213" s="2">
        <v>25315900</v>
      </c>
      <c r="C213" s="2">
        <v>4612990</v>
      </c>
      <c r="D213" s="2">
        <f>IF(B213&lt;2500000,2500000,B213)</f>
        <v>25315900</v>
      </c>
      <c r="E213" s="2">
        <v>24180400</v>
      </c>
      <c r="F213" s="2">
        <v>15024600</v>
      </c>
      <c r="G213" s="2">
        <v>16088999.999999998</v>
      </c>
      <c r="H213" s="2">
        <v>10746790.005951401</v>
      </c>
      <c r="I213" s="2">
        <f>87.67*(100000)</f>
        <v>8767000</v>
      </c>
      <c r="J213" s="2">
        <f t="shared" si="54"/>
        <v>16548900</v>
      </c>
      <c r="K213" s="2">
        <f t="shared" si="55"/>
        <v>4154010</v>
      </c>
      <c r="L213" s="2">
        <f t="shared" si="56"/>
        <v>16548900</v>
      </c>
      <c r="M213" s="2">
        <f t="shared" si="57"/>
        <v>15413400</v>
      </c>
      <c r="N213" s="2">
        <f t="shared" si="58"/>
        <v>6257600</v>
      </c>
      <c r="O213" s="2">
        <f t="shared" si="59"/>
        <v>7321999.9999999981</v>
      </c>
      <c r="P213" s="2">
        <f t="shared" si="60"/>
        <v>1979790.0059514008</v>
      </c>
      <c r="Q213" s="3">
        <f t="shared" si="61"/>
        <v>750318058109.58899</v>
      </c>
      <c r="R213" s="3">
        <f t="shared" si="62"/>
        <v>47276161863.287674</v>
      </c>
      <c r="S213" s="3">
        <f t="shared" si="63"/>
        <v>750318058109.58899</v>
      </c>
      <c r="T213" s="3">
        <f t="shared" si="64"/>
        <v>650884656328.76709</v>
      </c>
      <c r="U213" s="3">
        <f t="shared" si="65"/>
        <v>107280980164.38356</v>
      </c>
      <c r="V213" s="3">
        <f t="shared" si="66"/>
        <v>146881326027.39719</v>
      </c>
      <c r="W213" s="3">
        <f t="shared" si="67"/>
        <v>10738543747.027529</v>
      </c>
      <c r="X213" s="3">
        <f t="shared" si="68"/>
        <v>3919568467665.0479</v>
      </c>
      <c r="Y213" s="3">
        <f t="shared" si="69"/>
        <v>239059376573.46603</v>
      </c>
      <c r="AK213">
        <v>15.0246</v>
      </c>
      <c r="AL213">
        <v>1000000</v>
      </c>
      <c r="AM213">
        <f t="shared" si="70"/>
        <v>15024600</v>
      </c>
      <c r="AN213">
        <v>16.088999999999999</v>
      </c>
      <c r="AO213">
        <v>1000000</v>
      </c>
      <c r="AP213">
        <f t="shared" si="71"/>
        <v>16088999.999999998</v>
      </c>
    </row>
    <row r="214" spans="1:42" x14ac:dyDescent="0.4">
      <c r="A214">
        <v>203</v>
      </c>
      <c r="B214" s="2">
        <v>20168200</v>
      </c>
      <c r="C214" s="2">
        <v>2034650</v>
      </c>
      <c r="D214" s="2">
        <f>IF(B214&lt;2500000,2500000,B214)</f>
        <v>20168200</v>
      </c>
      <c r="E214" s="2">
        <v>18946300</v>
      </c>
      <c r="F214" s="2">
        <v>13281900</v>
      </c>
      <c r="G214" s="2">
        <v>14499900</v>
      </c>
      <c r="H214" s="2">
        <v>9312109.8827180937</v>
      </c>
      <c r="I214" s="2">
        <f>72.98*(100000)</f>
        <v>7298000</v>
      </c>
      <c r="J214" s="2">
        <f t="shared" si="54"/>
        <v>12870200</v>
      </c>
      <c r="K214" s="2">
        <f t="shared" si="55"/>
        <v>5263350</v>
      </c>
      <c r="L214" s="2">
        <f t="shared" si="56"/>
        <v>12870200</v>
      </c>
      <c r="M214" s="2">
        <f t="shared" si="57"/>
        <v>11648300</v>
      </c>
      <c r="N214" s="2">
        <f t="shared" si="58"/>
        <v>5983900</v>
      </c>
      <c r="O214" s="2">
        <f t="shared" si="59"/>
        <v>7201900</v>
      </c>
      <c r="P214" s="2">
        <f t="shared" si="60"/>
        <v>2014109.8827180937</v>
      </c>
      <c r="Q214" s="3">
        <f t="shared" si="61"/>
        <v>453813830246.57532</v>
      </c>
      <c r="R214" s="3">
        <f t="shared" si="62"/>
        <v>75898228006.849319</v>
      </c>
      <c r="S214" s="3">
        <f t="shared" si="63"/>
        <v>453813830246.57532</v>
      </c>
      <c r="T214" s="3">
        <f t="shared" si="64"/>
        <v>371733953123.28766</v>
      </c>
      <c r="U214" s="3">
        <f t="shared" si="65"/>
        <v>98101532082.191788</v>
      </c>
      <c r="V214" s="3">
        <f t="shared" si="66"/>
        <v>142102366054.79453</v>
      </c>
      <c r="W214" s="3">
        <f t="shared" si="67"/>
        <v>11114078410.034777</v>
      </c>
      <c r="X214" s="3">
        <f t="shared" si="68"/>
        <v>4056638619662.6934</v>
      </c>
      <c r="Y214" s="3">
        <f t="shared" si="69"/>
        <v>960523510820.04114</v>
      </c>
      <c r="AK214">
        <v>13.2819</v>
      </c>
      <c r="AL214">
        <v>1000000</v>
      </c>
      <c r="AM214">
        <f t="shared" si="70"/>
        <v>13281900</v>
      </c>
      <c r="AN214">
        <v>14.4999</v>
      </c>
      <c r="AO214">
        <v>1000000</v>
      </c>
      <c r="AP214">
        <f t="shared" si="71"/>
        <v>14499900</v>
      </c>
    </row>
    <row r="215" spans="1:42" x14ac:dyDescent="0.4">
      <c r="A215">
        <v>204</v>
      </c>
      <c r="B215" s="2">
        <v>15821700</v>
      </c>
      <c r="C215" s="2">
        <v>931349</v>
      </c>
      <c r="D215" s="2">
        <f>IF(B215&lt;2500000,2500000,B215)</f>
        <v>15821700</v>
      </c>
      <c r="E215" s="2">
        <v>14580800</v>
      </c>
      <c r="F215" s="2">
        <v>11764100</v>
      </c>
      <c r="G215" s="2">
        <v>13091900</v>
      </c>
      <c r="H215" s="2">
        <v>8124521.6326448331</v>
      </c>
      <c r="I215" s="2">
        <f>79.96*(100000)</f>
        <v>7995999.9999999991</v>
      </c>
      <c r="J215" s="2">
        <f t="shared" si="54"/>
        <v>7825700.0000000009</v>
      </c>
      <c r="K215" s="2">
        <f t="shared" si="55"/>
        <v>7064650.9999999991</v>
      </c>
      <c r="L215" s="2">
        <f t="shared" si="56"/>
        <v>7825700.0000000009</v>
      </c>
      <c r="M215" s="2">
        <f t="shared" si="57"/>
        <v>6584800.0000000009</v>
      </c>
      <c r="N215" s="2">
        <f t="shared" si="58"/>
        <v>3768100.0000000009</v>
      </c>
      <c r="O215" s="2">
        <f t="shared" si="59"/>
        <v>5095900.0000000009</v>
      </c>
      <c r="P215" s="2">
        <f t="shared" si="60"/>
        <v>128521.632644834</v>
      </c>
      <c r="Q215" s="3">
        <f t="shared" si="61"/>
        <v>167785152027.39731</v>
      </c>
      <c r="R215" s="3">
        <f t="shared" si="62"/>
        <v>136737791100.82462</v>
      </c>
      <c r="S215" s="3">
        <f t="shared" si="63"/>
        <v>167785152027.39731</v>
      </c>
      <c r="T215" s="3">
        <f t="shared" si="64"/>
        <v>118793400109.58908</v>
      </c>
      <c r="U215" s="3">
        <f t="shared" si="65"/>
        <v>38900212630.137009</v>
      </c>
      <c r="V215" s="3">
        <f t="shared" si="66"/>
        <v>71145744684.931534</v>
      </c>
      <c r="W215" s="3">
        <f t="shared" si="67"/>
        <v>45254274.13066756</v>
      </c>
      <c r="X215" s="3">
        <f t="shared" si="68"/>
        <v>16517810057.693659</v>
      </c>
      <c r="Y215" s="3">
        <f t="shared" si="69"/>
        <v>79559543696.754074</v>
      </c>
      <c r="AK215">
        <v>11.764099999999999</v>
      </c>
      <c r="AL215">
        <v>1000000</v>
      </c>
      <c r="AM215">
        <f t="shared" si="70"/>
        <v>11764100</v>
      </c>
      <c r="AN215">
        <v>13.091900000000001</v>
      </c>
      <c r="AO215">
        <v>1000000</v>
      </c>
      <c r="AP215">
        <f t="shared" si="71"/>
        <v>13091900</v>
      </c>
    </row>
    <row r="216" spans="1:42" x14ac:dyDescent="0.4">
      <c r="A216">
        <v>205</v>
      </c>
      <c r="B216" s="2">
        <v>12405700</v>
      </c>
      <c r="C216" s="2">
        <v>1178840</v>
      </c>
      <c r="D216" s="2">
        <f>IF(B216&lt;2500000,2500000,B216)</f>
        <v>12405700</v>
      </c>
      <c r="E216" s="2">
        <v>11203800</v>
      </c>
      <c r="F216" s="2">
        <v>10482200</v>
      </c>
      <c r="G216" s="2">
        <v>11867500</v>
      </c>
      <c r="H216" s="2">
        <v>7475535.5774145946</v>
      </c>
      <c r="I216" s="2">
        <f>96.17*(100000)</f>
        <v>9617000</v>
      </c>
      <c r="J216" s="2">
        <f t="shared" si="54"/>
        <v>2788700</v>
      </c>
      <c r="K216" s="2">
        <f t="shared" si="55"/>
        <v>8438160</v>
      </c>
      <c r="L216" s="2">
        <f t="shared" si="56"/>
        <v>2788700</v>
      </c>
      <c r="M216" s="2">
        <f t="shared" si="57"/>
        <v>1586800</v>
      </c>
      <c r="N216" s="2">
        <f t="shared" si="58"/>
        <v>865200</v>
      </c>
      <c r="O216" s="2">
        <f t="shared" si="59"/>
        <v>2250500</v>
      </c>
      <c r="P216" s="2">
        <f t="shared" si="60"/>
        <v>2141464.4225854054</v>
      </c>
      <c r="Q216" s="3">
        <f t="shared" si="61"/>
        <v>21306432027.397259</v>
      </c>
      <c r="R216" s="3">
        <f t="shared" si="62"/>
        <v>195075463522.19177</v>
      </c>
      <c r="S216" s="3">
        <f t="shared" si="63"/>
        <v>21306432027.397259</v>
      </c>
      <c r="T216" s="3">
        <f t="shared" si="64"/>
        <v>6898449972.6027393</v>
      </c>
      <c r="U216" s="3">
        <f t="shared" si="65"/>
        <v>2050879561.6438355</v>
      </c>
      <c r="V216" s="3">
        <f t="shared" si="66"/>
        <v>13876028082.19178</v>
      </c>
      <c r="W216" s="3">
        <f t="shared" si="67"/>
        <v>12564027049.860394</v>
      </c>
      <c r="X216" s="3">
        <f t="shared" si="68"/>
        <v>4585869873199.0439</v>
      </c>
      <c r="Y216" s="3">
        <f t="shared" si="69"/>
        <v>1792752253285.7949</v>
      </c>
      <c r="AK216">
        <v>10.482200000000001</v>
      </c>
      <c r="AL216">
        <v>1000000</v>
      </c>
      <c r="AM216">
        <f t="shared" si="70"/>
        <v>10482200</v>
      </c>
      <c r="AN216">
        <v>11.8675</v>
      </c>
      <c r="AO216">
        <v>1000000</v>
      </c>
      <c r="AP216">
        <f t="shared" si="71"/>
        <v>11867500</v>
      </c>
    </row>
    <row r="217" spans="1:42" x14ac:dyDescent="0.4">
      <c r="A217">
        <v>206</v>
      </c>
      <c r="B217" s="2">
        <v>9515920</v>
      </c>
      <c r="C217" s="2">
        <v>428083</v>
      </c>
      <c r="D217" s="2">
        <f>IF(B217&lt;2500000,2500000,B217)</f>
        <v>9515920</v>
      </c>
      <c r="E217" s="2">
        <v>8367680</v>
      </c>
      <c r="F217" s="2">
        <v>13762400</v>
      </c>
      <c r="G217" s="2">
        <v>10734500</v>
      </c>
      <c r="H217" s="2">
        <v>6839442.7761091273</v>
      </c>
      <c r="I217" s="2">
        <f>87.64*(100000)</f>
        <v>8764000</v>
      </c>
      <c r="J217" s="2">
        <f t="shared" si="54"/>
        <v>751920</v>
      </c>
      <c r="K217" s="2">
        <f t="shared" si="55"/>
        <v>8335917</v>
      </c>
      <c r="L217" s="2">
        <f t="shared" si="56"/>
        <v>751920</v>
      </c>
      <c r="M217" s="2">
        <f t="shared" si="57"/>
        <v>396320</v>
      </c>
      <c r="N217" s="2">
        <f t="shared" si="58"/>
        <v>4998400</v>
      </c>
      <c r="O217" s="2">
        <f t="shared" si="59"/>
        <v>1970500</v>
      </c>
      <c r="P217" s="2">
        <f t="shared" si="60"/>
        <v>1924557.2238908727</v>
      </c>
      <c r="Q217" s="3">
        <f t="shared" si="61"/>
        <v>1548996401.0958905</v>
      </c>
      <c r="R217" s="3">
        <f t="shared" si="62"/>
        <v>190376745838.05206</v>
      </c>
      <c r="S217" s="3">
        <f t="shared" si="63"/>
        <v>1548996401.0958905</v>
      </c>
      <c r="T217" s="3">
        <f t="shared" si="64"/>
        <v>430327513.42465752</v>
      </c>
      <c r="U217" s="3">
        <f t="shared" si="65"/>
        <v>68449322082.19178</v>
      </c>
      <c r="V217" s="3">
        <f t="shared" si="66"/>
        <v>10638000684.931507</v>
      </c>
      <c r="W217" s="3">
        <f t="shared" si="67"/>
        <v>10147727419.261761</v>
      </c>
      <c r="X217" s="3">
        <f t="shared" si="68"/>
        <v>3703920508030.5425</v>
      </c>
      <c r="Y217" s="3">
        <f t="shared" si="69"/>
        <v>236134754655.65781</v>
      </c>
      <c r="AK217">
        <v>13.7624</v>
      </c>
      <c r="AL217">
        <v>1000000</v>
      </c>
      <c r="AM217">
        <f t="shared" si="70"/>
        <v>13762400</v>
      </c>
      <c r="AN217">
        <v>10.734500000000001</v>
      </c>
      <c r="AO217">
        <v>1000000</v>
      </c>
      <c r="AP217">
        <f t="shared" si="71"/>
        <v>10734500</v>
      </c>
    </row>
    <row r="218" spans="1:42" x14ac:dyDescent="0.4">
      <c r="A218">
        <v>207</v>
      </c>
      <c r="B218" s="2">
        <v>7297090</v>
      </c>
      <c r="C218" s="2">
        <v>938498</v>
      </c>
      <c r="D218" s="2">
        <f>IF(B218&lt;2500000,2500000,B218)</f>
        <v>7297090</v>
      </c>
      <c r="E218" s="2">
        <v>6232050</v>
      </c>
      <c r="F218" s="2">
        <v>8290250</v>
      </c>
      <c r="G218" s="2">
        <v>9740320</v>
      </c>
      <c r="H218" s="2">
        <v>6365000.826452475</v>
      </c>
      <c r="I218" s="2">
        <f>68.05*(100000)</f>
        <v>6805000</v>
      </c>
      <c r="J218" s="2">
        <f t="shared" si="54"/>
        <v>492090</v>
      </c>
      <c r="K218" s="2">
        <f t="shared" si="55"/>
        <v>5866502</v>
      </c>
      <c r="L218" s="2">
        <f t="shared" si="56"/>
        <v>492090</v>
      </c>
      <c r="M218" s="2">
        <f t="shared" si="57"/>
        <v>572950</v>
      </c>
      <c r="N218" s="2">
        <f t="shared" si="58"/>
        <v>1485250</v>
      </c>
      <c r="O218" s="2">
        <f t="shared" si="59"/>
        <v>2935320</v>
      </c>
      <c r="P218" s="2">
        <f t="shared" si="60"/>
        <v>439999.17354752496</v>
      </c>
      <c r="Q218" s="3">
        <f t="shared" si="61"/>
        <v>663431693.42465758</v>
      </c>
      <c r="R218" s="3">
        <f t="shared" si="62"/>
        <v>94289988263.024658</v>
      </c>
      <c r="S218" s="3">
        <f t="shared" si="63"/>
        <v>663431693.42465758</v>
      </c>
      <c r="T218" s="3">
        <f t="shared" si="64"/>
        <v>899374527.39726031</v>
      </c>
      <c r="U218" s="3">
        <f t="shared" si="65"/>
        <v>6043746746.5753422</v>
      </c>
      <c r="V218" s="3">
        <f t="shared" si="66"/>
        <v>23605763020.273972</v>
      </c>
      <c r="W218" s="3">
        <f t="shared" si="67"/>
        <v>530408966.36302733</v>
      </c>
      <c r="X218" s="3">
        <f t="shared" si="68"/>
        <v>193599272722.50497</v>
      </c>
      <c r="Y218" s="3">
        <f t="shared" si="69"/>
        <v>2169914642326.8904</v>
      </c>
      <c r="AK218">
        <v>8.2902500000000003</v>
      </c>
      <c r="AL218">
        <v>1000000</v>
      </c>
      <c r="AM218">
        <f t="shared" si="70"/>
        <v>8290250</v>
      </c>
      <c r="AN218">
        <v>9.7403200000000005</v>
      </c>
      <c r="AO218">
        <v>1000000</v>
      </c>
      <c r="AP218">
        <f t="shared" si="71"/>
        <v>9740320</v>
      </c>
    </row>
    <row r="219" spans="1:42" x14ac:dyDescent="0.4">
      <c r="A219">
        <v>208</v>
      </c>
      <c r="B219" s="2">
        <v>5398350</v>
      </c>
      <c r="C219" s="2">
        <v>312197</v>
      </c>
      <c r="D219" s="2">
        <f>IF(B219&lt;2500000,2500000,B219)</f>
        <v>5398350</v>
      </c>
      <c r="E219" s="2">
        <v>4412560</v>
      </c>
      <c r="F219" s="2">
        <v>7345900</v>
      </c>
      <c r="G219" s="2">
        <v>8811920</v>
      </c>
      <c r="H219" s="2">
        <v>5930086.7249626564</v>
      </c>
      <c r="I219" s="2">
        <f>57.74*(100000)</f>
        <v>5774000</v>
      </c>
      <c r="J219" s="2">
        <f t="shared" si="54"/>
        <v>375650</v>
      </c>
      <c r="K219" s="2">
        <f t="shared" si="55"/>
        <v>5461803</v>
      </c>
      <c r="L219" s="2">
        <f t="shared" si="56"/>
        <v>375650</v>
      </c>
      <c r="M219" s="2">
        <f t="shared" si="57"/>
        <v>1361440</v>
      </c>
      <c r="N219" s="2">
        <f t="shared" si="58"/>
        <v>1571900</v>
      </c>
      <c r="O219" s="2">
        <f t="shared" si="59"/>
        <v>3037920</v>
      </c>
      <c r="P219" s="2">
        <f t="shared" si="60"/>
        <v>156086.72496265639</v>
      </c>
      <c r="Q219" s="3">
        <f t="shared" si="61"/>
        <v>386610746.57534248</v>
      </c>
      <c r="R219" s="3">
        <f t="shared" si="62"/>
        <v>81729567152.901367</v>
      </c>
      <c r="S219" s="3">
        <f t="shared" si="63"/>
        <v>386610746.57534248</v>
      </c>
      <c r="T219" s="3">
        <f t="shared" si="64"/>
        <v>5078133900.2739725</v>
      </c>
      <c r="U219" s="3">
        <f t="shared" si="65"/>
        <v>6769505780.8219175</v>
      </c>
      <c r="V219" s="3">
        <f t="shared" si="66"/>
        <v>25284816236.71233</v>
      </c>
      <c r="W219" s="3">
        <f t="shared" si="67"/>
        <v>66748125.231692985</v>
      </c>
      <c r="X219" s="3">
        <f t="shared" si="68"/>
        <v>24363065709.56794</v>
      </c>
      <c r="Y219" s="3">
        <f t="shared" si="69"/>
        <v>6270331576573.4658</v>
      </c>
      <c r="AK219">
        <v>7.3459000000000003</v>
      </c>
      <c r="AL219">
        <v>1000000</v>
      </c>
      <c r="AM219">
        <f t="shared" si="70"/>
        <v>7345900</v>
      </c>
      <c r="AN219">
        <v>8.8119200000000006</v>
      </c>
      <c r="AO219">
        <v>1000000</v>
      </c>
      <c r="AP219">
        <f t="shared" si="71"/>
        <v>8811920</v>
      </c>
    </row>
    <row r="220" spans="1:42" x14ac:dyDescent="0.4">
      <c r="A220">
        <v>209</v>
      </c>
      <c r="B220" s="2">
        <v>4095410</v>
      </c>
      <c r="C220" s="2">
        <v>137893</v>
      </c>
      <c r="D220" s="2">
        <f>IF(B220&lt;2500000,2500000,B220)</f>
        <v>4095410</v>
      </c>
      <c r="E220" s="2">
        <v>3192730</v>
      </c>
      <c r="F220" s="2">
        <v>6513300</v>
      </c>
      <c r="G220" s="2">
        <v>7966230</v>
      </c>
      <c r="H220" s="2">
        <v>5618964.71302904</v>
      </c>
      <c r="I220" s="2">
        <f>50.59*(100000)</f>
        <v>5059000</v>
      </c>
      <c r="J220" s="2">
        <f t="shared" si="54"/>
        <v>963590</v>
      </c>
      <c r="K220" s="2">
        <f t="shared" si="55"/>
        <v>4921107</v>
      </c>
      <c r="L220" s="2">
        <f t="shared" si="56"/>
        <v>963590</v>
      </c>
      <c r="M220" s="2">
        <f t="shared" si="57"/>
        <v>1866270</v>
      </c>
      <c r="N220" s="2">
        <f t="shared" si="58"/>
        <v>1454300</v>
      </c>
      <c r="O220" s="2">
        <f t="shared" si="59"/>
        <v>2907230</v>
      </c>
      <c r="P220" s="2">
        <f t="shared" si="60"/>
        <v>559964.71302904002</v>
      </c>
      <c r="Q220" s="3">
        <f t="shared" si="61"/>
        <v>2543851200.2739725</v>
      </c>
      <c r="R220" s="3">
        <f t="shared" si="62"/>
        <v>66348750973.832878</v>
      </c>
      <c r="S220" s="3">
        <f t="shared" si="63"/>
        <v>2543851200.2739725</v>
      </c>
      <c r="T220" s="3">
        <f t="shared" si="64"/>
        <v>9542366336.712328</v>
      </c>
      <c r="U220" s="3">
        <f t="shared" si="65"/>
        <v>5794489013.6986303</v>
      </c>
      <c r="V220" s="3">
        <f t="shared" si="66"/>
        <v>23156126775.068493</v>
      </c>
      <c r="W220" s="3">
        <f t="shared" si="67"/>
        <v>859069807.77450716</v>
      </c>
      <c r="X220" s="3">
        <f t="shared" si="68"/>
        <v>313560479837.69513</v>
      </c>
      <c r="Y220" s="3">
        <f t="shared" si="69"/>
        <v>10362366686162.506</v>
      </c>
      <c r="AK220">
        <v>6.5133000000000001</v>
      </c>
      <c r="AL220">
        <v>1000000</v>
      </c>
      <c r="AM220">
        <f t="shared" si="70"/>
        <v>6513300</v>
      </c>
      <c r="AN220">
        <v>7.9662300000000004</v>
      </c>
      <c r="AO220">
        <v>1000000</v>
      </c>
      <c r="AP220">
        <f t="shared" si="71"/>
        <v>7966230</v>
      </c>
    </row>
    <row r="221" spans="1:42" x14ac:dyDescent="0.4">
      <c r="A221">
        <v>210</v>
      </c>
      <c r="B221" s="2">
        <v>3283130</v>
      </c>
      <c r="C221" s="2">
        <v>63042.5</v>
      </c>
      <c r="D221" s="2">
        <f>IF(B221&lt;2500000,2500000,B221)</f>
        <v>3283130</v>
      </c>
      <c r="E221" s="2">
        <v>2465630</v>
      </c>
      <c r="F221" s="2">
        <v>5777210</v>
      </c>
      <c r="G221" s="2">
        <v>7203340</v>
      </c>
      <c r="H221" s="2">
        <v>5366813.7737374306</v>
      </c>
      <c r="I221" s="2">
        <f>53.31*(100000)</f>
        <v>5331000</v>
      </c>
      <c r="J221" s="2">
        <f t="shared" si="54"/>
        <v>2047870</v>
      </c>
      <c r="K221" s="2">
        <f t="shared" si="55"/>
        <v>5267957.5</v>
      </c>
      <c r="L221" s="2">
        <f t="shared" si="56"/>
        <v>2047870</v>
      </c>
      <c r="M221" s="2">
        <f t="shared" si="57"/>
        <v>2865370</v>
      </c>
      <c r="N221" s="2">
        <f t="shared" si="58"/>
        <v>446210</v>
      </c>
      <c r="O221" s="2">
        <f t="shared" si="59"/>
        <v>1872340</v>
      </c>
      <c r="P221" s="2">
        <f t="shared" si="60"/>
        <v>35813.773737430573</v>
      </c>
      <c r="Q221" s="3">
        <f t="shared" si="61"/>
        <v>11489785032.602739</v>
      </c>
      <c r="R221" s="3">
        <f t="shared" si="62"/>
        <v>76031167730.976028</v>
      </c>
      <c r="S221" s="3">
        <f t="shared" si="63"/>
        <v>11489785032.602739</v>
      </c>
      <c r="T221" s="3">
        <f t="shared" si="64"/>
        <v>22494096539.452053</v>
      </c>
      <c r="U221" s="3">
        <f t="shared" si="65"/>
        <v>545488668.76712334</v>
      </c>
      <c r="V221" s="3">
        <f t="shared" si="66"/>
        <v>9604539933.1506844</v>
      </c>
      <c r="W221" s="3">
        <f t="shared" si="67"/>
        <v>3514044.9022352649</v>
      </c>
      <c r="X221" s="3">
        <f t="shared" si="68"/>
        <v>1282626389.3158717</v>
      </c>
      <c r="Y221" s="3">
        <f t="shared" si="69"/>
        <v>8685180406710.4512</v>
      </c>
      <c r="AK221">
        <v>5.7772100000000002</v>
      </c>
      <c r="AL221">
        <v>1000000</v>
      </c>
      <c r="AM221">
        <f t="shared" si="70"/>
        <v>5777210</v>
      </c>
      <c r="AN221">
        <v>7.2033399999999999</v>
      </c>
      <c r="AO221">
        <v>1000000</v>
      </c>
      <c r="AP221">
        <f t="shared" si="71"/>
        <v>7203340</v>
      </c>
    </row>
    <row r="222" spans="1:42" x14ac:dyDescent="0.4">
      <c r="A222">
        <v>211</v>
      </c>
      <c r="B222" s="2">
        <v>2691210</v>
      </c>
      <c r="C222" s="2">
        <v>29533.3</v>
      </c>
      <c r="D222" s="2">
        <f>IF(B222&lt;2500000,2500000,B222)</f>
        <v>2691210</v>
      </c>
      <c r="E222" s="2">
        <v>1957600</v>
      </c>
      <c r="F222" s="2">
        <v>5126130</v>
      </c>
      <c r="G222" s="2">
        <v>6515220</v>
      </c>
      <c r="H222" s="2">
        <v>5158156.8832267458</v>
      </c>
      <c r="I222" s="2">
        <f>50.23*(100000)</f>
        <v>5023000</v>
      </c>
      <c r="J222" s="2">
        <f t="shared" si="54"/>
        <v>2331790</v>
      </c>
      <c r="K222" s="2">
        <f t="shared" si="55"/>
        <v>4993466.7</v>
      </c>
      <c r="L222" s="2">
        <f t="shared" si="56"/>
        <v>2331790</v>
      </c>
      <c r="M222" s="2">
        <f t="shared" si="57"/>
        <v>3065400</v>
      </c>
      <c r="N222" s="2">
        <f t="shared" si="58"/>
        <v>103130</v>
      </c>
      <c r="O222" s="2">
        <f t="shared" si="59"/>
        <v>1492220</v>
      </c>
      <c r="P222" s="2">
        <f t="shared" si="60"/>
        <v>135156.88322674576</v>
      </c>
      <c r="Q222" s="3">
        <f t="shared" si="61"/>
        <v>14896560559.178082</v>
      </c>
      <c r="R222" s="3">
        <f t="shared" si="62"/>
        <v>68314273106.873672</v>
      </c>
      <c r="S222" s="3">
        <f t="shared" si="63"/>
        <v>14896560559.178082</v>
      </c>
      <c r="T222" s="3">
        <f t="shared" si="64"/>
        <v>25744320986.301369</v>
      </c>
      <c r="U222" s="3">
        <f t="shared" si="65"/>
        <v>29139169.589041095</v>
      </c>
      <c r="V222" s="3">
        <f t="shared" si="66"/>
        <v>6100604187.3972607</v>
      </c>
      <c r="W222" s="3">
        <f t="shared" si="67"/>
        <v>50047624.886488199</v>
      </c>
      <c r="X222" s="3">
        <f t="shared" si="68"/>
        <v>18267383083.568192</v>
      </c>
      <c r="Y222" s="3">
        <f t="shared" si="69"/>
        <v>10595435223148.809</v>
      </c>
      <c r="AK222">
        <v>5.1261299999999999</v>
      </c>
      <c r="AL222">
        <v>1000000</v>
      </c>
      <c r="AM222">
        <f t="shared" si="70"/>
        <v>5126130</v>
      </c>
      <c r="AN222">
        <v>6.5152200000000002</v>
      </c>
      <c r="AO222">
        <v>1000000</v>
      </c>
      <c r="AP222">
        <f t="shared" si="71"/>
        <v>6515220</v>
      </c>
    </row>
    <row r="223" spans="1:42" x14ac:dyDescent="0.4">
      <c r="A223">
        <v>212</v>
      </c>
      <c r="B223" s="2">
        <v>2225700</v>
      </c>
      <c r="C223" s="2">
        <v>14064.1</v>
      </c>
      <c r="D223" s="2">
        <f>IF(B223&lt;2500000,2500000,B223)</f>
        <v>2500000</v>
      </c>
      <c r="E223" s="2">
        <v>1572410</v>
      </c>
      <c r="F223" s="2">
        <v>4550020</v>
      </c>
      <c r="G223" s="2">
        <v>5894310</v>
      </c>
      <c r="H223" s="2">
        <v>4980299.9930809736</v>
      </c>
      <c r="I223" s="2">
        <f>46.6*(100000)</f>
        <v>4660000</v>
      </c>
      <c r="J223" s="2">
        <f t="shared" si="54"/>
        <v>2434300</v>
      </c>
      <c r="K223" s="2">
        <f t="shared" si="55"/>
        <v>4645935.9000000004</v>
      </c>
      <c r="L223" s="2">
        <f t="shared" si="56"/>
        <v>2160000</v>
      </c>
      <c r="M223" s="2">
        <f t="shared" si="57"/>
        <v>3087590</v>
      </c>
      <c r="N223" s="2">
        <f t="shared" si="58"/>
        <v>109980</v>
      </c>
      <c r="O223" s="2">
        <f t="shared" si="59"/>
        <v>1234310</v>
      </c>
      <c r="P223" s="2">
        <f t="shared" si="60"/>
        <v>320299.99308097363</v>
      </c>
      <c r="Q223" s="3">
        <f t="shared" si="61"/>
        <v>16235113671.232876</v>
      </c>
      <c r="R223" s="3">
        <f t="shared" si="62"/>
        <v>59136220238.106339</v>
      </c>
      <c r="S223" s="3">
        <f t="shared" si="63"/>
        <v>12782465753.424658</v>
      </c>
      <c r="T223" s="3">
        <f t="shared" si="64"/>
        <v>26118389063.28767</v>
      </c>
      <c r="U223" s="3">
        <f t="shared" si="65"/>
        <v>33138631.232876711</v>
      </c>
      <c r="V223" s="3">
        <f t="shared" si="66"/>
        <v>4174030619.452055</v>
      </c>
      <c r="W223" s="3">
        <f t="shared" si="67"/>
        <v>281074207.03471714</v>
      </c>
      <c r="X223" s="3">
        <f t="shared" si="68"/>
        <v>102592085567.67175</v>
      </c>
      <c r="Y223" s="3">
        <f t="shared" si="69"/>
        <v>13090379971094.014</v>
      </c>
      <c r="AK223">
        <v>4.55002</v>
      </c>
      <c r="AL223">
        <v>1000000</v>
      </c>
      <c r="AM223">
        <f t="shared" si="70"/>
        <v>4550020</v>
      </c>
      <c r="AN223">
        <v>5.8943099999999999</v>
      </c>
      <c r="AO223">
        <v>1000000</v>
      </c>
      <c r="AP223">
        <f t="shared" si="71"/>
        <v>5894310</v>
      </c>
    </row>
    <row r="224" spans="1:42" x14ac:dyDescent="0.4">
      <c r="A224">
        <v>213</v>
      </c>
      <c r="B224" s="2">
        <v>1842930</v>
      </c>
      <c r="C224" s="2">
        <v>6769.21</v>
      </c>
      <c r="D224" s="2">
        <f>IF(B224&lt;2500000,2500000,B224)</f>
        <v>2500000</v>
      </c>
      <c r="E224" s="2">
        <v>1263980</v>
      </c>
      <c r="F224" s="2">
        <v>4034890</v>
      </c>
      <c r="G224" s="2">
        <v>5330820</v>
      </c>
      <c r="H224" s="2">
        <v>4823341.70625831</v>
      </c>
      <c r="I224" s="2">
        <f>43.24*(100000)</f>
        <v>4324000</v>
      </c>
      <c r="J224" s="2">
        <f t="shared" si="54"/>
        <v>2481070</v>
      </c>
      <c r="K224" s="2">
        <f t="shared" si="55"/>
        <v>4317230.79</v>
      </c>
      <c r="L224" s="2">
        <f t="shared" si="56"/>
        <v>1824000</v>
      </c>
      <c r="M224" s="2">
        <f t="shared" si="57"/>
        <v>3060020</v>
      </c>
      <c r="N224" s="2">
        <f t="shared" si="58"/>
        <v>289110</v>
      </c>
      <c r="O224" s="2">
        <f t="shared" si="59"/>
        <v>1006820</v>
      </c>
      <c r="P224" s="2">
        <f t="shared" si="60"/>
        <v>499341.70625831001</v>
      </c>
      <c r="Q224" s="3">
        <f t="shared" si="61"/>
        <v>16864954369.589041</v>
      </c>
      <c r="R224" s="3">
        <f t="shared" si="62"/>
        <v>51064333408.558968</v>
      </c>
      <c r="S224" s="3">
        <f t="shared" si="63"/>
        <v>9115002739.7260265</v>
      </c>
      <c r="T224" s="3">
        <f t="shared" si="64"/>
        <v>25654033973.698631</v>
      </c>
      <c r="U224" s="3">
        <f t="shared" si="65"/>
        <v>228998882.46575344</v>
      </c>
      <c r="V224" s="3">
        <f t="shared" si="66"/>
        <v>2777223321.6438355</v>
      </c>
      <c r="W224" s="3">
        <f t="shared" si="67"/>
        <v>683129149.61359</v>
      </c>
      <c r="X224" s="3">
        <f t="shared" si="68"/>
        <v>249342139608.96036</v>
      </c>
      <c r="Y224" s="3">
        <f t="shared" si="69"/>
        <v>15634614316299.492</v>
      </c>
      <c r="AK224">
        <v>4.0348899999999999</v>
      </c>
      <c r="AL224">
        <v>1000000</v>
      </c>
      <c r="AM224">
        <f t="shared" si="70"/>
        <v>4034890</v>
      </c>
      <c r="AN224">
        <v>5.3308200000000001</v>
      </c>
      <c r="AO224">
        <v>1000000</v>
      </c>
      <c r="AP224">
        <f t="shared" si="71"/>
        <v>5330820</v>
      </c>
    </row>
    <row r="225" spans="1:42" x14ac:dyDescent="0.4">
      <c r="A225">
        <v>214</v>
      </c>
      <c r="B225" s="2">
        <v>1526010</v>
      </c>
      <c r="C225" s="2">
        <v>3280.26</v>
      </c>
      <c r="D225" s="2">
        <f>IF(B225&lt;2500000,2500000,B225)</f>
        <v>2500000</v>
      </c>
      <c r="E225" s="2">
        <v>1015790</v>
      </c>
      <c r="F225" s="2">
        <v>3578970</v>
      </c>
      <c r="G225" s="2">
        <v>4820740</v>
      </c>
      <c r="H225" s="2">
        <v>4682645.1905417414</v>
      </c>
      <c r="I225" s="2">
        <f>39.77*(100000)</f>
        <v>3977000.0000000005</v>
      </c>
      <c r="J225" s="2">
        <f t="shared" si="54"/>
        <v>2450990.0000000005</v>
      </c>
      <c r="K225" s="2">
        <f t="shared" si="55"/>
        <v>3973719.7400000007</v>
      </c>
      <c r="L225" s="2">
        <f t="shared" si="56"/>
        <v>1477000.0000000005</v>
      </c>
      <c r="M225" s="2">
        <f t="shared" si="57"/>
        <v>2961210.0000000005</v>
      </c>
      <c r="N225" s="2">
        <f t="shared" si="58"/>
        <v>398030.00000000047</v>
      </c>
      <c r="O225" s="2">
        <f t="shared" si="59"/>
        <v>843739.99999999953</v>
      </c>
      <c r="P225" s="2">
        <f t="shared" si="60"/>
        <v>705645.19054174097</v>
      </c>
      <c r="Q225" s="3">
        <f t="shared" si="61"/>
        <v>16458498575.616444</v>
      </c>
      <c r="R225" s="3">
        <f t="shared" si="62"/>
        <v>43261502937.166229</v>
      </c>
      <c r="S225" s="3">
        <f t="shared" si="63"/>
        <v>5976791780.8219213</v>
      </c>
      <c r="T225" s="3">
        <f t="shared" si="64"/>
        <v>24024012778.356171</v>
      </c>
      <c r="U225" s="3">
        <f t="shared" si="65"/>
        <v>434048988.7671243</v>
      </c>
      <c r="V225" s="3">
        <f t="shared" si="66"/>
        <v>1950403253.6986282</v>
      </c>
      <c r="W225" s="3">
        <f t="shared" si="67"/>
        <v>1364205849.1361368</v>
      </c>
      <c r="X225" s="3">
        <f t="shared" si="68"/>
        <v>497935134934.68994</v>
      </c>
      <c r="Y225" s="3">
        <f t="shared" si="69"/>
        <v>18499143047806.34</v>
      </c>
      <c r="AK225">
        <v>3.57897</v>
      </c>
      <c r="AL225">
        <v>1000000</v>
      </c>
      <c r="AM225">
        <f t="shared" si="70"/>
        <v>3578970</v>
      </c>
      <c r="AN225">
        <v>4.8207399999999998</v>
      </c>
      <c r="AO225">
        <v>1000000</v>
      </c>
      <c r="AP225">
        <f t="shared" si="71"/>
        <v>4820740</v>
      </c>
    </row>
    <row r="226" spans="1:42" x14ac:dyDescent="0.4">
      <c r="A226">
        <v>215</v>
      </c>
      <c r="B226" s="2">
        <v>1571260</v>
      </c>
      <c r="C226" s="2">
        <v>1490370</v>
      </c>
      <c r="D226" s="2">
        <f>IF(B226&lt;2500000,2500000,B226)</f>
        <v>2500000</v>
      </c>
      <c r="E226" s="2">
        <v>1149060</v>
      </c>
      <c r="F226" s="2">
        <v>3282230</v>
      </c>
      <c r="G226" s="2">
        <v>4432340</v>
      </c>
      <c r="H226" s="2">
        <v>4650763.0149698975</v>
      </c>
      <c r="I226" s="2">
        <f>38.98*(100000)</f>
        <v>3897999.9999999995</v>
      </c>
      <c r="J226" s="2">
        <f t="shared" si="54"/>
        <v>2326739.9999999995</v>
      </c>
      <c r="K226" s="2">
        <f t="shared" si="55"/>
        <v>2407629.9999999995</v>
      </c>
      <c r="L226" s="2">
        <f t="shared" si="56"/>
        <v>1397999.9999999995</v>
      </c>
      <c r="M226" s="2">
        <f t="shared" si="57"/>
        <v>2748939.9999999995</v>
      </c>
      <c r="N226" s="2">
        <f t="shared" si="58"/>
        <v>615769.99999999953</v>
      </c>
      <c r="O226" s="2">
        <f t="shared" si="59"/>
        <v>534340.00000000047</v>
      </c>
      <c r="P226" s="2">
        <f t="shared" si="60"/>
        <v>752763.01496989792</v>
      </c>
      <c r="Q226" s="3">
        <f t="shared" si="61"/>
        <v>14832106924.931501</v>
      </c>
      <c r="R226" s="3">
        <f t="shared" si="62"/>
        <v>15881321142.191776</v>
      </c>
      <c r="S226" s="3">
        <f t="shared" si="63"/>
        <v>5354531506.8493118</v>
      </c>
      <c r="T226" s="3">
        <f t="shared" si="64"/>
        <v>20703208557.808212</v>
      </c>
      <c r="U226" s="3">
        <f t="shared" si="65"/>
        <v>1038829295.6164368</v>
      </c>
      <c r="V226" s="3">
        <f t="shared" si="66"/>
        <v>782244481.09589171</v>
      </c>
      <c r="W226" s="3">
        <f t="shared" si="67"/>
        <v>1552471662.2097831</v>
      </c>
      <c r="X226" s="3">
        <f t="shared" si="68"/>
        <v>566652156706.5708</v>
      </c>
      <c r="Y226" s="3">
        <f t="shared" si="69"/>
        <v>19184952003970.727</v>
      </c>
      <c r="AK226">
        <v>3.2822300000000002</v>
      </c>
      <c r="AL226">
        <v>1000000</v>
      </c>
      <c r="AM226">
        <f t="shared" si="70"/>
        <v>3282230</v>
      </c>
      <c r="AN226">
        <v>4.4323399999999999</v>
      </c>
      <c r="AO226">
        <v>1000000</v>
      </c>
      <c r="AP226">
        <f t="shared" si="71"/>
        <v>4432340</v>
      </c>
    </row>
    <row r="227" spans="1:42" x14ac:dyDescent="0.4">
      <c r="A227">
        <v>216</v>
      </c>
      <c r="B227" s="2">
        <v>1375990</v>
      </c>
      <c r="C227" s="2">
        <v>444330</v>
      </c>
      <c r="D227" s="2">
        <f>IF(B227&lt;2500000,2500000,B227)</f>
        <v>2500000</v>
      </c>
      <c r="E227" s="2">
        <v>1004400</v>
      </c>
      <c r="F227" s="2">
        <v>2896400</v>
      </c>
      <c r="G227" s="2">
        <v>4017839.9999999995</v>
      </c>
      <c r="H227" s="2">
        <v>4457505.6956810653</v>
      </c>
      <c r="I227" s="2">
        <f>36.46*(100000)</f>
        <v>3646000</v>
      </c>
      <c r="J227" s="2">
        <f t="shared" si="54"/>
        <v>2270010</v>
      </c>
      <c r="K227" s="2">
        <f t="shared" si="55"/>
        <v>3201670</v>
      </c>
      <c r="L227" s="2">
        <f t="shared" si="56"/>
        <v>1146000</v>
      </c>
      <c r="M227" s="2">
        <f t="shared" si="57"/>
        <v>2641600</v>
      </c>
      <c r="N227" s="2">
        <f t="shared" si="58"/>
        <v>749600</v>
      </c>
      <c r="O227" s="2">
        <f t="shared" si="59"/>
        <v>371839.99999999953</v>
      </c>
      <c r="P227" s="2">
        <f t="shared" si="60"/>
        <v>811505.69568106532</v>
      </c>
      <c r="Q227" s="3">
        <f t="shared" si="61"/>
        <v>14117658630.410959</v>
      </c>
      <c r="R227" s="3">
        <f t="shared" si="62"/>
        <v>28084084353.150684</v>
      </c>
      <c r="S227" s="3">
        <f t="shared" si="63"/>
        <v>3598126027.3972602</v>
      </c>
      <c r="T227" s="3">
        <f t="shared" si="64"/>
        <v>19117946739.726028</v>
      </c>
      <c r="U227" s="3">
        <f t="shared" si="65"/>
        <v>1539452493.1506848</v>
      </c>
      <c r="V227" s="3">
        <f t="shared" si="66"/>
        <v>378808179.72602648</v>
      </c>
      <c r="W227" s="3">
        <f t="shared" si="67"/>
        <v>1804223271.5693419</v>
      </c>
      <c r="X227" s="3">
        <f t="shared" si="68"/>
        <v>658541494122.80981</v>
      </c>
      <c r="Y227" s="3">
        <f t="shared" si="69"/>
        <v>21456007762874.836</v>
      </c>
      <c r="AK227">
        <v>2.8963999999999999</v>
      </c>
      <c r="AL227">
        <v>1000000</v>
      </c>
      <c r="AM227">
        <f t="shared" si="70"/>
        <v>2896400</v>
      </c>
      <c r="AN227">
        <v>4.0178399999999996</v>
      </c>
      <c r="AO227">
        <v>1000000</v>
      </c>
      <c r="AP227">
        <f t="shared" si="71"/>
        <v>4017839.9999999995</v>
      </c>
    </row>
    <row r="228" spans="1:42" x14ac:dyDescent="0.4">
      <c r="A228">
        <v>217</v>
      </c>
      <c r="B228" s="2">
        <v>1058900</v>
      </c>
      <c r="C228" s="2">
        <v>190370</v>
      </c>
      <c r="D228" s="2">
        <f>IF(B228&lt;2500000,2500000,B228)</f>
        <v>2500000</v>
      </c>
      <c r="E228" s="2">
        <v>731715</v>
      </c>
      <c r="F228" s="2">
        <v>2562470</v>
      </c>
      <c r="G228" s="2">
        <v>3627830</v>
      </c>
      <c r="H228" s="2">
        <v>4347847.0360566983</v>
      </c>
      <c r="I228" s="2">
        <f>34.94*(100000)</f>
        <v>3494000</v>
      </c>
      <c r="J228" s="2">
        <f t="shared" si="54"/>
        <v>2435100</v>
      </c>
      <c r="K228" s="2">
        <f t="shared" si="55"/>
        <v>3303630</v>
      </c>
      <c r="L228" s="2">
        <f t="shared" si="56"/>
        <v>994000</v>
      </c>
      <c r="M228" s="2">
        <f t="shared" si="57"/>
        <v>2762285</v>
      </c>
      <c r="N228" s="2">
        <f t="shared" si="58"/>
        <v>931530</v>
      </c>
      <c r="O228" s="2">
        <f t="shared" si="59"/>
        <v>133830</v>
      </c>
      <c r="P228" s="2">
        <f t="shared" si="60"/>
        <v>853847.0360566983</v>
      </c>
      <c r="Q228" s="3">
        <f t="shared" si="61"/>
        <v>16245786328.767124</v>
      </c>
      <c r="R228" s="3">
        <f t="shared" si="62"/>
        <v>29901290895.61644</v>
      </c>
      <c r="S228" s="3">
        <f t="shared" si="63"/>
        <v>2706947945.2054796</v>
      </c>
      <c r="T228" s="3">
        <f t="shared" si="64"/>
        <v>20904708003.356163</v>
      </c>
      <c r="U228" s="3">
        <f t="shared" si="65"/>
        <v>2377392166.8493152</v>
      </c>
      <c r="V228" s="3">
        <f t="shared" si="66"/>
        <v>49069777.80821918</v>
      </c>
      <c r="W228" s="3">
        <f t="shared" si="67"/>
        <v>1997410304.0624893</v>
      </c>
      <c r="X228" s="3">
        <f t="shared" si="68"/>
        <v>729054760982.80859</v>
      </c>
      <c r="Y228" s="3">
        <f t="shared" si="69"/>
        <v>22887258919039.219</v>
      </c>
      <c r="AK228">
        <v>2.5624699999999998</v>
      </c>
      <c r="AL228">
        <v>1000000</v>
      </c>
      <c r="AM228">
        <f t="shared" si="70"/>
        <v>2562470</v>
      </c>
      <c r="AN228">
        <v>3.6278299999999999</v>
      </c>
      <c r="AO228">
        <v>1000000</v>
      </c>
      <c r="AP228">
        <f t="shared" si="71"/>
        <v>3627830</v>
      </c>
    </row>
    <row r="229" spans="1:42" x14ac:dyDescent="0.4">
      <c r="A229">
        <v>218</v>
      </c>
      <c r="B229" s="2">
        <v>848421</v>
      </c>
      <c r="C229" s="2">
        <v>85075.9</v>
      </c>
      <c r="D229" s="2">
        <f>IF(B229&lt;2500000,2500000,B229)</f>
        <v>2500000</v>
      </c>
      <c r="E229" s="2">
        <v>563773</v>
      </c>
      <c r="F229" s="2">
        <v>2266410</v>
      </c>
      <c r="G229" s="2">
        <v>3275510</v>
      </c>
      <c r="H229" s="2">
        <v>4238674.0255220989</v>
      </c>
      <c r="I229" s="2">
        <f>40.68*(100000)</f>
        <v>4068000</v>
      </c>
      <c r="J229" s="2">
        <f t="shared" si="54"/>
        <v>3219579</v>
      </c>
      <c r="K229" s="2">
        <f t="shared" si="55"/>
        <v>3982924.1</v>
      </c>
      <c r="L229" s="2">
        <f t="shared" si="56"/>
        <v>1568000</v>
      </c>
      <c r="M229" s="2">
        <f t="shared" si="57"/>
        <v>3504227</v>
      </c>
      <c r="N229" s="2">
        <f t="shared" si="58"/>
        <v>1801590</v>
      </c>
      <c r="O229" s="2">
        <f t="shared" si="59"/>
        <v>792490</v>
      </c>
      <c r="P229" s="2">
        <f t="shared" si="60"/>
        <v>170674.02552209888</v>
      </c>
      <c r="Q229" s="3">
        <f t="shared" si="61"/>
        <v>28399147773.263012</v>
      </c>
      <c r="R229" s="3">
        <f t="shared" si="62"/>
        <v>43462149003.728249</v>
      </c>
      <c r="S229" s="3">
        <f t="shared" si="63"/>
        <v>6735956164.3835621</v>
      </c>
      <c r="T229" s="3">
        <f t="shared" si="64"/>
        <v>33642758541.175343</v>
      </c>
      <c r="U229" s="3">
        <f t="shared" si="65"/>
        <v>8892401446.8493156</v>
      </c>
      <c r="V229" s="3">
        <f t="shared" si="66"/>
        <v>1720658630.410959</v>
      </c>
      <c r="W229" s="3">
        <f t="shared" si="67"/>
        <v>79807186.26826866</v>
      </c>
      <c r="X229" s="3">
        <f t="shared" si="68"/>
        <v>29129622987.91806</v>
      </c>
      <c r="Y229" s="3">
        <f t="shared" si="69"/>
        <v>17724630579313.191</v>
      </c>
      <c r="AK229">
        <v>2.26641</v>
      </c>
      <c r="AL229">
        <v>1000000</v>
      </c>
      <c r="AM229">
        <f t="shared" si="70"/>
        <v>2266410</v>
      </c>
      <c r="AN229">
        <v>3.2755100000000001</v>
      </c>
      <c r="AO229">
        <v>1000000</v>
      </c>
      <c r="AP229">
        <f t="shared" si="71"/>
        <v>3275510</v>
      </c>
    </row>
    <row r="230" spans="1:42" x14ac:dyDescent="0.4">
      <c r="A230">
        <v>219</v>
      </c>
      <c r="B230" s="2">
        <v>693832</v>
      </c>
      <c r="C230" s="2">
        <v>39225.599999999999</v>
      </c>
      <c r="D230" s="2">
        <f>IF(B230&lt;2500000,2500000,B230)</f>
        <v>2500000</v>
      </c>
      <c r="E230" s="2">
        <v>445850</v>
      </c>
      <c r="F230" s="2">
        <v>2009910</v>
      </c>
      <c r="G230" s="2">
        <v>2960460</v>
      </c>
      <c r="H230" s="2">
        <v>4135926.7671026061</v>
      </c>
      <c r="I230" s="2">
        <f>46.25*(100000)</f>
        <v>4625000</v>
      </c>
      <c r="J230" s="2">
        <f t="shared" si="54"/>
        <v>3931168</v>
      </c>
      <c r="K230" s="2">
        <f t="shared" si="55"/>
        <v>4585774.4000000004</v>
      </c>
      <c r="L230" s="2">
        <f t="shared" si="56"/>
        <v>2125000</v>
      </c>
      <c r="M230" s="2">
        <f t="shared" si="57"/>
        <v>4179150</v>
      </c>
      <c r="N230" s="2">
        <f t="shared" si="58"/>
        <v>2615090</v>
      </c>
      <c r="O230" s="2">
        <f t="shared" si="59"/>
        <v>1664540</v>
      </c>
      <c r="P230" s="2">
        <f t="shared" si="60"/>
        <v>489073.23289739387</v>
      </c>
      <c r="Q230" s="3">
        <f t="shared" si="61"/>
        <v>42339950258.147942</v>
      </c>
      <c r="R230" s="3">
        <f t="shared" si="62"/>
        <v>57614594103.274971</v>
      </c>
      <c r="S230" s="3">
        <f t="shared" si="63"/>
        <v>12371575342.465754</v>
      </c>
      <c r="T230" s="3">
        <f t="shared" si="64"/>
        <v>47850122527.397263</v>
      </c>
      <c r="U230" s="3">
        <f t="shared" si="65"/>
        <v>18736152624.931507</v>
      </c>
      <c r="V230" s="3">
        <f t="shared" si="66"/>
        <v>7590940853.6986303</v>
      </c>
      <c r="W230" s="3">
        <f t="shared" si="67"/>
        <v>655322266.12796843</v>
      </c>
      <c r="X230" s="3">
        <f t="shared" si="68"/>
        <v>239192627136.70847</v>
      </c>
      <c r="Y230" s="3">
        <f t="shared" si="69"/>
        <v>13344869382052.918</v>
      </c>
      <c r="AK230">
        <v>2.0099100000000001</v>
      </c>
      <c r="AL230">
        <v>1000000</v>
      </c>
      <c r="AM230">
        <f t="shared" si="70"/>
        <v>2009910</v>
      </c>
      <c r="AN230">
        <v>2.9604599999999999</v>
      </c>
      <c r="AO230">
        <v>1000000</v>
      </c>
      <c r="AP230">
        <f t="shared" si="71"/>
        <v>2960460</v>
      </c>
    </row>
    <row r="231" spans="1:42" x14ac:dyDescent="0.4">
      <c r="A231">
        <v>220</v>
      </c>
      <c r="B231" s="2">
        <v>1342740</v>
      </c>
      <c r="C231" s="2">
        <v>3740410</v>
      </c>
      <c r="D231" s="2">
        <f>IF(B231&lt;2500000,2500000,B231)</f>
        <v>2500000</v>
      </c>
      <c r="E231" s="2">
        <v>1190060</v>
      </c>
      <c r="F231" s="2">
        <v>2054209.9999999998</v>
      </c>
      <c r="G231" s="2">
        <v>2860210</v>
      </c>
      <c r="H231" s="2">
        <v>8732045.105803147</v>
      </c>
      <c r="I231" s="2">
        <f>139.38*(100000)</f>
        <v>13938000</v>
      </c>
      <c r="J231" s="2">
        <f t="shared" si="54"/>
        <v>12595260</v>
      </c>
      <c r="K231" s="2">
        <f t="shared" si="55"/>
        <v>10197590</v>
      </c>
      <c r="L231" s="2">
        <f t="shared" si="56"/>
        <v>11438000</v>
      </c>
      <c r="M231" s="2">
        <f t="shared" si="57"/>
        <v>12747940</v>
      </c>
      <c r="N231" s="2">
        <f t="shared" si="58"/>
        <v>11883790</v>
      </c>
      <c r="O231" s="2">
        <f t="shared" si="59"/>
        <v>11077790</v>
      </c>
      <c r="P231" s="2">
        <f t="shared" si="60"/>
        <v>5205954.894196853</v>
      </c>
      <c r="Q231" s="3">
        <f t="shared" si="61"/>
        <v>434631710870.13696</v>
      </c>
      <c r="R231" s="3">
        <f t="shared" si="62"/>
        <v>284906415912.60272</v>
      </c>
      <c r="S231" s="3">
        <f t="shared" si="63"/>
        <v>358432449315.06848</v>
      </c>
      <c r="T231" s="3">
        <f t="shared" si="64"/>
        <v>445232806146.8493</v>
      </c>
      <c r="U231" s="3">
        <f t="shared" si="65"/>
        <v>386916341819.45203</v>
      </c>
      <c r="V231" s="3">
        <f t="shared" si="66"/>
        <v>336212140504.38354</v>
      </c>
      <c r="W231" s="3">
        <f t="shared" si="67"/>
        <v>74251962631.26622</v>
      </c>
      <c r="X231" s="3">
        <f t="shared" si="68"/>
        <v>27101966360412.168</v>
      </c>
      <c r="Y231" s="3">
        <f t="shared" si="69"/>
        <v>32034886688902.234</v>
      </c>
      <c r="AK231">
        <v>2.0542099999999999</v>
      </c>
      <c r="AL231">
        <v>1000000</v>
      </c>
      <c r="AM231">
        <f t="shared" si="70"/>
        <v>2054209.9999999998</v>
      </c>
      <c r="AN231">
        <v>2.8602099999999999</v>
      </c>
      <c r="AO231">
        <v>1000000</v>
      </c>
      <c r="AP231">
        <f t="shared" si="71"/>
        <v>2860210</v>
      </c>
    </row>
    <row r="232" spans="1:42" x14ac:dyDescent="0.4">
      <c r="A232">
        <v>221</v>
      </c>
      <c r="B232" s="2">
        <v>14095500</v>
      </c>
      <c r="C232" s="2">
        <v>62917100</v>
      </c>
      <c r="D232" s="2">
        <f>IF(B232&lt;2500000,2500000,B232)</f>
        <v>14095500</v>
      </c>
      <c r="E232" s="2">
        <v>15015500</v>
      </c>
      <c r="F232" s="2">
        <v>6304120</v>
      </c>
      <c r="G232" s="2">
        <v>5652670</v>
      </c>
      <c r="H232" s="2">
        <v>9973413.8259117454</v>
      </c>
      <c r="I232" s="2">
        <f>181.57*(100000)</f>
        <v>18157000</v>
      </c>
      <c r="J232" s="2">
        <f t="shared" si="54"/>
        <v>4061500</v>
      </c>
      <c r="K232" s="2">
        <f t="shared" si="55"/>
        <v>44760100</v>
      </c>
      <c r="L232" s="2">
        <f t="shared" si="56"/>
        <v>4061500</v>
      </c>
      <c r="M232" s="2">
        <f t="shared" si="57"/>
        <v>3141500</v>
      </c>
      <c r="N232" s="2">
        <f t="shared" si="58"/>
        <v>11852880</v>
      </c>
      <c r="O232" s="2">
        <f t="shared" si="59"/>
        <v>12504330</v>
      </c>
      <c r="P232" s="2">
        <f t="shared" si="60"/>
        <v>8183586.1740882546</v>
      </c>
      <c r="Q232" s="3">
        <f t="shared" si="61"/>
        <v>45193923972.602737</v>
      </c>
      <c r="R232" s="3">
        <f t="shared" si="62"/>
        <v>5488949457561.6436</v>
      </c>
      <c r="S232" s="3">
        <f t="shared" si="63"/>
        <v>45193923972.602737</v>
      </c>
      <c r="T232" s="3">
        <f t="shared" si="64"/>
        <v>27038417123.28767</v>
      </c>
      <c r="U232" s="3">
        <f t="shared" si="65"/>
        <v>384906203546.30139</v>
      </c>
      <c r="V232" s="3">
        <f t="shared" si="66"/>
        <v>428378818490.13696</v>
      </c>
      <c r="W232" s="3">
        <f t="shared" si="67"/>
        <v>183482418270.48886</v>
      </c>
      <c r="X232" s="3">
        <f t="shared" si="68"/>
        <v>66971082668728.438</v>
      </c>
      <c r="Y232" s="3">
        <f t="shared" si="69"/>
        <v>97593395979313.188</v>
      </c>
      <c r="AK232">
        <v>6.3041200000000002</v>
      </c>
      <c r="AL232">
        <v>1000000</v>
      </c>
      <c r="AM232">
        <f t="shared" si="70"/>
        <v>6304120</v>
      </c>
      <c r="AN232">
        <v>5.6526699999999996</v>
      </c>
      <c r="AO232">
        <v>1000000</v>
      </c>
      <c r="AP232">
        <f t="shared" si="71"/>
        <v>5652670</v>
      </c>
    </row>
    <row r="233" spans="1:42" x14ac:dyDescent="0.4">
      <c r="A233">
        <v>222</v>
      </c>
      <c r="B233" s="2">
        <v>21299800</v>
      </c>
      <c r="C233" s="2">
        <v>55718700</v>
      </c>
      <c r="D233" s="2">
        <f>IF(B233&lt;2500000,2500000,B233)</f>
        <v>21299800</v>
      </c>
      <c r="E233" s="2">
        <v>22502400</v>
      </c>
      <c r="F233" s="2">
        <v>7490480</v>
      </c>
      <c r="G233" s="2">
        <v>7275990</v>
      </c>
      <c r="H233" s="2">
        <v>9974724.7141951732</v>
      </c>
      <c r="I233" s="2">
        <f>64.51*(100000)</f>
        <v>6451000.0000000009</v>
      </c>
      <c r="J233" s="2">
        <f t="shared" si="54"/>
        <v>14848800</v>
      </c>
      <c r="K233" s="2">
        <f t="shared" si="55"/>
        <v>49267700</v>
      </c>
      <c r="L233" s="2">
        <f t="shared" si="56"/>
        <v>14848800</v>
      </c>
      <c r="M233" s="2">
        <f t="shared" si="57"/>
        <v>16051400</v>
      </c>
      <c r="N233" s="2">
        <f t="shared" si="58"/>
        <v>1039479.9999999991</v>
      </c>
      <c r="O233" s="2">
        <f t="shared" si="59"/>
        <v>824989.99999999907</v>
      </c>
      <c r="P233" s="2">
        <f t="shared" si="60"/>
        <v>3523724.7141951723</v>
      </c>
      <c r="Q233" s="3">
        <f t="shared" si="61"/>
        <v>604073592986.30139</v>
      </c>
      <c r="R233" s="3">
        <f t="shared" si="62"/>
        <v>6650154146000</v>
      </c>
      <c r="S233" s="3">
        <f t="shared" si="63"/>
        <v>604073592986.30139</v>
      </c>
      <c r="T233" s="3">
        <f t="shared" si="64"/>
        <v>705883402630.13696</v>
      </c>
      <c r="U233" s="3">
        <f t="shared" si="65"/>
        <v>2960325124.3835564</v>
      </c>
      <c r="V233" s="3">
        <f t="shared" si="66"/>
        <v>1864680822.1917765</v>
      </c>
      <c r="W233" s="3">
        <f t="shared" si="67"/>
        <v>34018180442.27356</v>
      </c>
      <c r="X233" s="3">
        <f t="shared" si="68"/>
        <v>12416635861429.85</v>
      </c>
      <c r="Y233" s="3">
        <f t="shared" si="69"/>
        <v>3338159256025.5171</v>
      </c>
      <c r="AK233">
        <v>7.4904799999999998</v>
      </c>
      <c r="AL233">
        <v>1000000</v>
      </c>
      <c r="AM233">
        <f t="shared" si="70"/>
        <v>7490480</v>
      </c>
      <c r="AN233">
        <v>7.2759900000000002</v>
      </c>
      <c r="AO233">
        <v>1000000</v>
      </c>
      <c r="AP233">
        <f t="shared" si="71"/>
        <v>7275990</v>
      </c>
    </row>
    <row r="234" spans="1:42" x14ac:dyDescent="0.4">
      <c r="A234">
        <v>223</v>
      </c>
      <c r="B234" s="2">
        <v>20459300</v>
      </c>
      <c r="C234" s="2">
        <v>22846400</v>
      </c>
      <c r="D234" s="2">
        <f>IF(B234&lt;2500000,2500000,B234)</f>
        <v>20459300</v>
      </c>
      <c r="E234" s="2">
        <v>21227100</v>
      </c>
      <c r="F234" s="2">
        <v>6392670</v>
      </c>
      <c r="G234" s="2">
        <v>6790530</v>
      </c>
      <c r="H234" s="2">
        <v>8267404.8599126488</v>
      </c>
      <c r="I234" s="2">
        <f>55.78*(100000)</f>
        <v>5578000</v>
      </c>
      <c r="J234" s="2">
        <f t="shared" si="54"/>
        <v>14881300</v>
      </c>
      <c r="K234" s="2">
        <f t="shared" si="55"/>
        <v>17268400</v>
      </c>
      <c r="L234" s="2">
        <f t="shared" si="56"/>
        <v>14881300</v>
      </c>
      <c r="M234" s="2">
        <f t="shared" si="57"/>
        <v>15649100</v>
      </c>
      <c r="N234" s="2">
        <f t="shared" si="58"/>
        <v>814670</v>
      </c>
      <c r="O234" s="2">
        <f t="shared" si="59"/>
        <v>1212530</v>
      </c>
      <c r="P234" s="2">
        <f t="shared" si="60"/>
        <v>2689404.8599126488</v>
      </c>
      <c r="Q234" s="3">
        <f t="shared" si="61"/>
        <v>606720793671.23291</v>
      </c>
      <c r="R234" s="3">
        <f t="shared" si="62"/>
        <v>816979831671.23291</v>
      </c>
      <c r="S234" s="3">
        <f t="shared" si="63"/>
        <v>606720793671.23291</v>
      </c>
      <c r="T234" s="3">
        <f t="shared" si="64"/>
        <v>670943372082.19177</v>
      </c>
      <c r="U234" s="3">
        <f t="shared" si="65"/>
        <v>1818321120.2739725</v>
      </c>
      <c r="V234" s="3">
        <f t="shared" si="66"/>
        <v>4028024660</v>
      </c>
      <c r="W234" s="3">
        <f t="shared" si="67"/>
        <v>19816160275.402122</v>
      </c>
      <c r="X234" s="3">
        <f t="shared" si="68"/>
        <v>7232898500521.7744</v>
      </c>
      <c r="Y234" s="3">
        <f t="shared" si="69"/>
        <v>7290340277943.3281</v>
      </c>
      <c r="AK234">
        <v>6.3926699999999999</v>
      </c>
      <c r="AL234">
        <v>1000000</v>
      </c>
      <c r="AM234">
        <f t="shared" si="70"/>
        <v>6392670</v>
      </c>
      <c r="AN234">
        <v>6.7905300000000004</v>
      </c>
      <c r="AO234">
        <v>1000000</v>
      </c>
      <c r="AP234">
        <f t="shared" si="71"/>
        <v>6790530</v>
      </c>
    </row>
    <row r="235" spans="1:42" x14ac:dyDescent="0.4">
      <c r="A235">
        <v>224</v>
      </c>
      <c r="B235" s="2">
        <v>17388800</v>
      </c>
      <c r="C235" s="2">
        <v>8942260</v>
      </c>
      <c r="D235" s="2">
        <f>IF(B235&lt;2500000,2500000,B235)</f>
        <v>17388800</v>
      </c>
      <c r="E235" s="2">
        <v>17769000</v>
      </c>
      <c r="F235" s="2">
        <v>5484120</v>
      </c>
      <c r="G235" s="2">
        <v>5942090</v>
      </c>
      <c r="H235" s="2">
        <v>7683684.5605367767</v>
      </c>
      <c r="I235" s="2">
        <f>44.65*(100000)</f>
        <v>4465000</v>
      </c>
      <c r="J235" s="2">
        <f t="shared" si="54"/>
        <v>12923800</v>
      </c>
      <c r="K235" s="2">
        <f t="shared" si="55"/>
        <v>4477260</v>
      </c>
      <c r="L235" s="2">
        <f t="shared" si="56"/>
        <v>12923800</v>
      </c>
      <c r="M235" s="2">
        <f t="shared" si="57"/>
        <v>13304000</v>
      </c>
      <c r="N235" s="2">
        <f t="shared" si="58"/>
        <v>1019120</v>
      </c>
      <c r="O235" s="2">
        <f t="shared" si="59"/>
        <v>1477090</v>
      </c>
      <c r="P235" s="2">
        <f t="shared" si="60"/>
        <v>3218684.5605367767</v>
      </c>
      <c r="Q235" s="3">
        <f t="shared" si="61"/>
        <v>457601661479.45203</v>
      </c>
      <c r="R235" s="3">
        <f t="shared" si="62"/>
        <v>54920156459.178085</v>
      </c>
      <c r="S235" s="3">
        <f t="shared" si="63"/>
        <v>457601661479.45203</v>
      </c>
      <c r="T235" s="3">
        <f t="shared" si="64"/>
        <v>484921687671.23285</v>
      </c>
      <c r="U235" s="3">
        <f t="shared" si="65"/>
        <v>2845494724.3835616</v>
      </c>
      <c r="V235" s="3">
        <f t="shared" si="66"/>
        <v>5977520186.5753422</v>
      </c>
      <c r="W235" s="3">
        <f t="shared" si="67"/>
        <v>28383370685.583076</v>
      </c>
      <c r="X235" s="3">
        <f t="shared" si="68"/>
        <v>10359930300237.822</v>
      </c>
      <c r="Y235" s="3">
        <f t="shared" si="69"/>
        <v>14539449546436.479</v>
      </c>
      <c r="AK235">
        <v>5.4841199999999999</v>
      </c>
      <c r="AL235">
        <v>1000000</v>
      </c>
      <c r="AM235">
        <f t="shared" si="70"/>
        <v>5484120</v>
      </c>
      <c r="AN235">
        <v>5.9420900000000003</v>
      </c>
      <c r="AO235">
        <v>1000000</v>
      </c>
      <c r="AP235">
        <f t="shared" si="71"/>
        <v>5942090</v>
      </c>
    </row>
    <row r="236" spans="1:42" x14ac:dyDescent="0.4">
      <c r="A236">
        <v>225</v>
      </c>
      <c r="B236" s="2">
        <v>13876500</v>
      </c>
      <c r="C236" s="2">
        <v>3910590</v>
      </c>
      <c r="D236" s="2">
        <f>IF(B236&lt;2500000,2500000,B236)</f>
        <v>13876500</v>
      </c>
      <c r="E236" s="2">
        <v>13982900</v>
      </c>
      <c r="F236" s="2">
        <v>4712440</v>
      </c>
      <c r="G236" s="2">
        <v>5215680</v>
      </c>
      <c r="H236" s="2">
        <v>6943466.0311443172</v>
      </c>
      <c r="I236" s="2">
        <f>39.35*(100000)</f>
        <v>3935000</v>
      </c>
      <c r="J236" s="2">
        <f t="shared" si="54"/>
        <v>9941500</v>
      </c>
      <c r="K236" s="2">
        <f t="shared" si="55"/>
        <v>24410</v>
      </c>
      <c r="L236" s="2">
        <f t="shared" si="56"/>
        <v>9941500</v>
      </c>
      <c r="M236" s="2">
        <f t="shared" si="57"/>
        <v>10047900</v>
      </c>
      <c r="N236" s="2">
        <f t="shared" si="58"/>
        <v>777440</v>
      </c>
      <c r="O236" s="2">
        <f t="shared" si="59"/>
        <v>1280680</v>
      </c>
      <c r="P236" s="2">
        <f t="shared" si="60"/>
        <v>3008466.0311443172</v>
      </c>
      <c r="Q236" s="3">
        <f t="shared" si="61"/>
        <v>270776499315.06848</v>
      </c>
      <c r="R236" s="3">
        <f t="shared" si="62"/>
        <v>1632460.5479452056</v>
      </c>
      <c r="S236" s="3">
        <f t="shared" si="63"/>
        <v>270776499315.06848</v>
      </c>
      <c r="T236" s="3">
        <f t="shared" si="64"/>
        <v>276603546328.76715</v>
      </c>
      <c r="U236" s="3">
        <f t="shared" si="65"/>
        <v>1655925900.2739725</v>
      </c>
      <c r="V236" s="3">
        <f t="shared" si="66"/>
        <v>4493537705.2054796</v>
      </c>
      <c r="W236" s="3">
        <f t="shared" si="67"/>
        <v>24796898248.080109</v>
      </c>
      <c r="X236" s="3">
        <f t="shared" si="68"/>
        <v>9050867860549.2402</v>
      </c>
      <c r="Y236" s="3">
        <f t="shared" si="69"/>
        <v>18862196340957.027</v>
      </c>
      <c r="AK236">
        <v>4.71244</v>
      </c>
      <c r="AL236">
        <v>1000000</v>
      </c>
      <c r="AM236">
        <f t="shared" si="70"/>
        <v>4712440</v>
      </c>
      <c r="AN236">
        <v>5.2156799999999999</v>
      </c>
      <c r="AO236">
        <v>1000000</v>
      </c>
      <c r="AP236">
        <f t="shared" si="71"/>
        <v>5215680</v>
      </c>
    </row>
    <row r="237" spans="1:42" x14ac:dyDescent="0.4">
      <c r="A237">
        <v>226</v>
      </c>
      <c r="B237" s="2">
        <v>10730900</v>
      </c>
      <c r="C237" s="2">
        <v>1765090</v>
      </c>
      <c r="D237" s="2">
        <f>IF(B237&lt;2500000,2500000,B237)</f>
        <v>10730900</v>
      </c>
      <c r="E237" s="2">
        <v>10649300</v>
      </c>
      <c r="F237" s="2">
        <v>4103090</v>
      </c>
      <c r="G237" s="2">
        <v>4636760</v>
      </c>
      <c r="H237" s="2">
        <v>6331509.5410238681</v>
      </c>
      <c r="I237" s="2">
        <f>35.6*(100000)</f>
        <v>3560000</v>
      </c>
      <c r="J237" s="2">
        <f t="shared" si="54"/>
        <v>7170900</v>
      </c>
      <c r="K237" s="2">
        <f t="shared" si="55"/>
        <v>1794910</v>
      </c>
      <c r="L237" s="2">
        <f t="shared" si="56"/>
        <v>7170900</v>
      </c>
      <c r="M237" s="2">
        <f t="shared" si="57"/>
        <v>7089300</v>
      </c>
      <c r="N237" s="2">
        <f t="shared" si="58"/>
        <v>543090</v>
      </c>
      <c r="O237" s="2">
        <f t="shared" si="59"/>
        <v>1076760</v>
      </c>
      <c r="P237" s="2">
        <f t="shared" si="60"/>
        <v>2771509.5410238681</v>
      </c>
      <c r="Q237" s="3">
        <f t="shared" si="61"/>
        <v>140881662493.1507</v>
      </c>
      <c r="R237" s="3">
        <f t="shared" si="62"/>
        <v>8826580570.1369858</v>
      </c>
      <c r="S237" s="3">
        <f t="shared" si="63"/>
        <v>140881662493.1507</v>
      </c>
      <c r="T237" s="3">
        <f t="shared" si="64"/>
        <v>137693628739.72601</v>
      </c>
      <c r="U237" s="3">
        <f t="shared" si="65"/>
        <v>808073282.46575344</v>
      </c>
      <c r="V237" s="3">
        <f t="shared" si="66"/>
        <v>3176471500.2739725</v>
      </c>
      <c r="W237" s="3">
        <f t="shared" si="67"/>
        <v>21044562016.400909</v>
      </c>
      <c r="X237" s="3">
        <f t="shared" si="68"/>
        <v>7681265135986.332</v>
      </c>
      <c r="Y237" s="3">
        <f t="shared" si="69"/>
        <v>22260118601231</v>
      </c>
      <c r="AK237">
        <v>4.1030899999999999</v>
      </c>
      <c r="AL237">
        <v>1000000</v>
      </c>
      <c r="AM237">
        <f t="shared" si="70"/>
        <v>4103090</v>
      </c>
      <c r="AN237">
        <v>4.6367599999999998</v>
      </c>
      <c r="AO237">
        <v>1000000</v>
      </c>
      <c r="AP237">
        <f t="shared" si="71"/>
        <v>4636760</v>
      </c>
    </row>
    <row r="238" spans="1:42" x14ac:dyDescent="0.4">
      <c r="A238">
        <v>227</v>
      </c>
      <c r="B238" s="2">
        <v>8107419.9999999991</v>
      </c>
      <c r="C238" s="2">
        <v>832782</v>
      </c>
      <c r="D238" s="2">
        <f>IF(B238&lt;2500000,2500000,B238)</f>
        <v>8107419.9999999991</v>
      </c>
      <c r="E238" s="2">
        <v>7902960</v>
      </c>
      <c r="F238" s="2">
        <v>3606450</v>
      </c>
      <c r="G238" s="2">
        <v>4156119.9999999995</v>
      </c>
      <c r="H238" s="2">
        <v>5969322.2619128646</v>
      </c>
      <c r="I238" s="2">
        <f>35.77*(100000)</f>
        <v>3577000.0000000005</v>
      </c>
      <c r="J238" s="2">
        <f t="shared" si="54"/>
        <v>4530419.9999999981</v>
      </c>
      <c r="K238" s="2">
        <f t="shared" si="55"/>
        <v>2744218.0000000005</v>
      </c>
      <c r="L238" s="2">
        <f t="shared" si="56"/>
        <v>4530419.9999999981</v>
      </c>
      <c r="M238" s="2">
        <f t="shared" si="57"/>
        <v>4325960</v>
      </c>
      <c r="N238" s="2">
        <f t="shared" si="58"/>
        <v>29449.999999999534</v>
      </c>
      <c r="O238" s="2">
        <f t="shared" si="59"/>
        <v>579119.99999999907</v>
      </c>
      <c r="P238" s="2">
        <f t="shared" si="60"/>
        <v>2392322.2619128642</v>
      </c>
      <c r="Q238" s="3">
        <f t="shared" si="61"/>
        <v>56232069524.383522</v>
      </c>
      <c r="R238" s="3">
        <f t="shared" si="62"/>
        <v>20632143648.010967</v>
      </c>
      <c r="S238" s="3">
        <f t="shared" si="63"/>
        <v>56232069524.383522</v>
      </c>
      <c r="T238" s="3">
        <f t="shared" si="64"/>
        <v>51271040881.095894</v>
      </c>
      <c r="U238" s="3">
        <f t="shared" si="65"/>
        <v>2376171.232876637</v>
      </c>
      <c r="V238" s="3">
        <f t="shared" si="66"/>
        <v>918849244.93150389</v>
      </c>
      <c r="W238" s="3">
        <f t="shared" si="67"/>
        <v>15680015903.681871</v>
      </c>
      <c r="X238" s="3">
        <f t="shared" si="68"/>
        <v>5723205804843.8828</v>
      </c>
      <c r="Y238" s="3">
        <f t="shared" si="69"/>
        <v>22099993458765.246</v>
      </c>
      <c r="AK238">
        <v>3.6064500000000002</v>
      </c>
      <c r="AL238">
        <v>1000000</v>
      </c>
      <c r="AM238">
        <f t="shared" si="70"/>
        <v>3606450</v>
      </c>
      <c r="AN238">
        <v>4.1561199999999996</v>
      </c>
      <c r="AO238">
        <v>1000000</v>
      </c>
      <c r="AP238">
        <f t="shared" si="71"/>
        <v>4156119.9999999995</v>
      </c>
    </row>
    <row r="239" spans="1:42" x14ac:dyDescent="0.4">
      <c r="A239">
        <v>228</v>
      </c>
      <c r="B239" s="2">
        <v>5968980</v>
      </c>
      <c r="C239" s="2">
        <v>394457</v>
      </c>
      <c r="D239" s="2">
        <f>IF(B239&lt;2500000,2500000,B239)</f>
        <v>5968980</v>
      </c>
      <c r="E239" s="2">
        <v>5687880</v>
      </c>
      <c r="F239" s="2">
        <v>3181200</v>
      </c>
      <c r="G239" s="2">
        <v>3740650</v>
      </c>
      <c r="H239" s="2">
        <v>5601391.8089406528</v>
      </c>
      <c r="I239" s="2">
        <f>70.19*(100000)</f>
        <v>7019000</v>
      </c>
      <c r="J239" s="2">
        <f t="shared" si="54"/>
        <v>1050020</v>
      </c>
      <c r="K239" s="2">
        <f t="shared" si="55"/>
        <v>6624543</v>
      </c>
      <c r="L239" s="2">
        <f t="shared" si="56"/>
        <v>1050020</v>
      </c>
      <c r="M239" s="2">
        <f t="shared" si="57"/>
        <v>1331120</v>
      </c>
      <c r="N239" s="2">
        <f t="shared" si="58"/>
        <v>3837800</v>
      </c>
      <c r="O239" s="2">
        <f t="shared" si="59"/>
        <v>3278350</v>
      </c>
      <c r="P239" s="2">
        <f t="shared" si="60"/>
        <v>1417608.1910593472</v>
      </c>
      <c r="Q239" s="3">
        <f t="shared" si="61"/>
        <v>3020663014.7945204</v>
      </c>
      <c r="R239" s="3">
        <f t="shared" si="62"/>
        <v>120231698517.39452</v>
      </c>
      <c r="S239" s="3">
        <f t="shared" si="63"/>
        <v>3020663014.7945204</v>
      </c>
      <c r="T239" s="3">
        <f t="shared" si="64"/>
        <v>4854466998.356164</v>
      </c>
      <c r="U239" s="3">
        <f t="shared" si="65"/>
        <v>40352626958.904106</v>
      </c>
      <c r="V239" s="3">
        <f t="shared" si="66"/>
        <v>29445421157.534248</v>
      </c>
      <c r="W239" s="3">
        <f t="shared" si="67"/>
        <v>5505788995.5028896</v>
      </c>
      <c r="X239" s="3">
        <f t="shared" si="68"/>
        <v>2009612983358.5547</v>
      </c>
      <c r="Y239" s="3">
        <f t="shared" si="69"/>
        <v>1585239672463.8767</v>
      </c>
      <c r="AK239">
        <v>3.1812</v>
      </c>
      <c r="AL239">
        <v>1000000</v>
      </c>
      <c r="AM239">
        <f t="shared" si="70"/>
        <v>3181200</v>
      </c>
      <c r="AN239">
        <v>3.74065</v>
      </c>
      <c r="AO239">
        <v>1000000</v>
      </c>
      <c r="AP239">
        <f t="shared" si="71"/>
        <v>3740650</v>
      </c>
    </row>
    <row r="240" spans="1:42" x14ac:dyDescent="0.4">
      <c r="A240">
        <v>229</v>
      </c>
      <c r="B240" s="2">
        <v>9811170</v>
      </c>
      <c r="C240" s="2">
        <v>26987100</v>
      </c>
      <c r="D240" s="2">
        <f>IF(B240&lt;2500000,2500000,B240)</f>
        <v>9811170</v>
      </c>
      <c r="E240" s="2">
        <v>9946700</v>
      </c>
      <c r="F240" s="2">
        <v>4771810</v>
      </c>
      <c r="G240" s="2">
        <v>4692100</v>
      </c>
      <c r="H240" s="2">
        <v>7547159.6047785403</v>
      </c>
      <c r="I240" s="2">
        <f>62.38*(100000)</f>
        <v>6238000</v>
      </c>
      <c r="J240" s="2">
        <f t="shared" si="54"/>
        <v>3573170</v>
      </c>
      <c r="K240" s="2">
        <f t="shared" si="55"/>
        <v>20749100</v>
      </c>
      <c r="L240" s="2">
        <f t="shared" si="56"/>
        <v>3573170</v>
      </c>
      <c r="M240" s="2">
        <f t="shared" si="57"/>
        <v>3708700</v>
      </c>
      <c r="N240" s="2">
        <f t="shared" si="58"/>
        <v>1466190</v>
      </c>
      <c r="O240" s="2">
        <f t="shared" si="59"/>
        <v>1545900</v>
      </c>
      <c r="P240" s="2">
        <f t="shared" si="60"/>
        <v>1309159.6047785403</v>
      </c>
      <c r="Q240" s="3">
        <f t="shared" si="61"/>
        <v>34979572188.76712</v>
      </c>
      <c r="R240" s="3">
        <f t="shared" si="62"/>
        <v>1179520961123.2876</v>
      </c>
      <c r="S240" s="3">
        <f t="shared" si="63"/>
        <v>34979572188.76712</v>
      </c>
      <c r="T240" s="3">
        <f t="shared" si="64"/>
        <v>37683440246.57534</v>
      </c>
      <c r="U240" s="3">
        <f t="shared" si="65"/>
        <v>5889624975.6164379</v>
      </c>
      <c r="V240" s="3">
        <f t="shared" si="66"/>
        <v>6547415917.808219</v>
      </c>
      <c r="W240" s="3">
        <f t="shared" si="67"/>
        <v>4695613344.6134348</v>
      </c>
      <c r="X240" s="3">
        <f t="shared" si="68"/>
        <v>1713898870783.9038</v>
      </c>
      <c r="Y240" s="3">
        <f t="shared" si="69"/>
        <v>4161857099861.1367</v>
      </c>
      <c r="AK240">
        <v>4.7718100000000003</v>
      </c>
      <c r="AL240">
        <v>1000000</v>
      </c>
      <c r="AM240">
        <f t="shared" si="70"/>
        <v>4771810</v>
      </c>
      <c r="AN240">
        <v>4.6920999999999999</v>
      </c>
      <c r="AO240">
        <v>1000000</v>
      </c>
      <c r="AP240">
        <f t="shared" si="71"/>
        <v>4692100</v>
      </c>
    </row>
    <row r="241" spans="1:42" x14ac:dyDescent="0.4">
      <c r="A241">
        <v>230</v>
      </c>
      <c r="B241" s="2">
        <v>9505410</v>
      </c>
      <c r="C241" s="2">
        <v>15140500</v>
      </c>
      <c r="D241" s="2">
        <f>IF(B241&lt;2500000,2500000,B241)</f>
        <v>9505410</v>
      </c>
      <c r="E241" s="2">
        <v>9534780</v>
      </c>
      <c r="F241" s="2">
        <v>4144030</v>
      </c>
      <c r="G241" s="2">
        <v>4559280</v>
      </c>
      <c r="H241" s="2">
        <v>5893773.4871153282</v>
      </c>
      <c r="I241" s="2">
        <f>47.33*(100000)</f>
        <v>4733000</v>
      </c>
      <c r="J241" s="2">
        <f t="shared" si="54"/>
        <v>4772410</v>
      </c>
      <c r="K241" s="2">
        <f t="shared" si="55"/>
        <v>10407500</v>
      </c>
      <c r="L241" s="2">
        <f t="shared" si="56"/>
        <v>4772410</v>
      </c>
      <c r="M241" s="2">
        <f t="shared" si="57"/>
        <v>4801780</v>
      </c>
      <c r="N241" s="2">
        <f t="shared" si="58"/>
        <v>588970</v>
      </c>
      <c r="O241" s="2">
        <f t="shared" si="59"/>
        <v>173720</v>
      </c>
      <c r="P241" s="2">
        <f t="shared" si="60"/>
        <v>1160773.4871153282</v>
      </c>
      <c r="Q241" s="3">
        <f t="shared" si="61"/>
        <v>62399718378.356163</v>
      </c>
      <c r="R241" s="3">
        <f t="shared" si="62"/>
        <v>296756318493.1507</v>
      </c>
      <c r="S241" s="3">
        <f t="shared" si="63"/>
        <v>62399718378.356163</v>
      </c>
      <c r="T241" s="3">
        <f t="shared" si="64"/>
        <v>63170112790.136986</v>
      </c>
      <c r="U241" s="3">
        <f t="shared" si="65"/>
        <v>950371673.69863009</v>
      </c>
      <c r="V241" s="3">
        <f t="shared" si="66"/>
        <v>82681201.095890418</v>
      </c>
      <c r="W241" s="3">
        <f t="shared" si="67"/>
        <v>3691493392.8489833</v>
      </c>
      <c r="X241" s="3">
        <f t="shared" si="68"/>
        <v>1347395088389.8789</v>
      </c>
      <c r="Y241" s="3">
        <f t="shared" si="69"/>
        <v>12567471771094.014</v>
      </c>
      <c r="AK241">
        <v>4.1440299999999999</v>
      </c>
      <c r="AL241">
        <v>1000000</v>
      </c>
      <c r="AM241">
        <f t="shared" si="70"/>
        <v>4144030</v>
      </c>
      <c r="AN241">
        <v>4.5592800000000002</v>
      </c>
      <c r="AO241">
        <v>1000000</v>
      </c>
      <c r="AP241">
        <f t="shared" si="71"/>
        <v>4559280</v>
      </c>
    </row>
    <row r="242" spans="1:42" x14ac:dyDescent="0.4">
      <c r="A242">
        <v>231</v>
      </c>
      <c r="B242" s="2">
        <v>8026759.9999999991</v>
      </c>
      <c r="C242" s="2">
        <v>4114750</v>
      </c>
      <c r="D242" s="2">
        <f>IF(B242&lt;2500000,2500000,B242)</f>
        <v>8026759.9999999991</v>
      </c>
      <c r="E242" s="2">
        <v>7908100</v>
      </c>
      <c r="F242" s="2">
        <v>3581360</v>
      </c>
      <c r="G242" s="2">
        <v>4038560.0000000005</v>
      </c>
      <c r="H242" s="2">
        <v>5703606.0926171914</v>
      </c>
      <c r="I242" s="2">
        <f>35.87*(100000)</f>
        <v>3586999.9999999995</v>
      </c>
      <c r="J242" s="2">
        <f t="shared" si="54"/>
        <v>4439760</v>
      </c>
      <c r="K242" s="2">
        <f t="shared" si="55"/>
        <v>527750.00000000047</v>
      </c>
      <c r="L242" s="2">
        <f t="shared" si="56"/>
        <v>4439760</v>
      </c>
      <c r="M242" s="2">
        <f t="shared" si="57"/>
        <v>4321100</v>
      </c>
      <c r="N242" s="2">
        <f t="shared" si="58"/>
        <v>5639.9999999995343</v>
      </c>
      <c r="O242" s="2">
        <f t="shared" si="59"/>
        <v>451560.00000000093</v>
      </c>
      <c r="P242" s="2">
        <f t="shared" si="60"/>
        <v>2116606.0926171918</v>
      </c>
      <c r="Q242" s="3">
        <f t="shared" si="61"/>
        <v>54004024267.397263</v>
      </c>
      <c r="R242" s="3">
        <f t="shared" si="62"/>
        <v>763068664.38356292</v>
      </c>
      <c r="S242" s="3">
        <f t="shared" si="63"/>
        <v>54004024267.397263</v>
      </c>
      <c r="T242" s="3">
        <f t="shared" si="64"/>
        <v>51155904684.931503</v>
      </c>
      <c r="U242" s="3">
        <f t="shared" si="65"/>
        <v>87149.589041081505</v>
      </c>
      <c r="V242" s="3">
        <f t="shared" si="66"/>
        <v>558647763.28767359</v>
      </c>
      <c r="W242" s="3">
        <f t="shared" si="67"/>
        <v>12274031099.463608</v>
      </c>
      <c r="X242" s="3">
        <f t="shared" si="68"/>
        <v>4480021351304.2168</v>
      </c>
      <c r="Y242" s="3">
        <f t="shared" si="69"/>
        <v>22006072198491.273</v>
      </c>
      <c r="AK242">
        <v>3.5813600000000001</v>
      </c>
      <c r="AL242">
        <v>1000000</v>
      </c>
      <c r="AM242">
        <f t="shared" si="70"/>
        <v>3581360</v>
      </c>
      <c r="AN242">
        <v>4.0385600000000004</v>
      </c>
      <c r="AO242">
        <v>1000000</v>
      </c>
      <c r="AP242">
        <f t="shared" si="71"/>
        <v>4038560.0000000005</v>
      </c>
    </row>
    <row r="243" spans="1:42" x14ac:dyDescent="0.4">
      <c r="A243">
        <v>232</v>
      </c>
      <c r="B243" s="2">
        <v>6175780</v>
      </c>
      <c r="C243" s="2">
        <v>1799270</v>
      </c>
      <c r="D243" s="2">
        <f>IF(B243&lt;2500000,2500000,B243)</f>
        <v>6175780</v>
      </c>
      <c r="E243" s="2">
        <v>5959650</v>
      </c>
      <c r="F243" s="2">
        <v>3130990</v>
      </c>
      <c r="G243" s="2">
        <v>3603890</v>
      </c>
      <c r="H243" s="2">
        <v>5475793.554375995</v>
      </c>
      <c r="I243" s="2">
        <f>36.25*(100000)</f>
        <v>3625000</v>
      </c>
      <c r="J243" s="2">
        <f t="shared" si="54"/>
        <v>2550780</v>
      </c>
      <c r="K243" s="2">
        <f t="shared" si="55"/>
        <v>1825730</v>
      </c>
      <c r="L243" s="2">
        <f t="shared" si="56"/>
        <v>2550780</v>
      </c>
      <c r="M243" s="2">
        <f t="shared" si="57"/>
        <v>2334650</v>
      </c>
      <c r="N243" s="2">
        <f t="shared" si="58"/>
        <v>494010</v>
      </c>
      <c r="O243" s="2">
        <f t="shared" si="59"/>
        <v>21110</v>
      </c>
      <c r="P243" s="2">
        <f t="shared" si="60"/>
        <v>1850793.554375995</v>
      </c>
      <c r="Q243" s="3">
        <f t="shared" si="61"/>
        <v>17825968790.136986</v>
      </c>
      <c r="R243" s="3">
        <f t="shared" si="62"/>
        <v>9132301460</v>
      </c>
      <c r="S243" s="3">
        <f t="shared" si="63"/>
        <v>17825968790.136986</v>
      </c>
      <c r="T243" s="3">
        <f t="shared" si="64"/>
        <v>14933124993.150684</v>
      </c>
      <c r="U243" s="3">
        <f t="shared" si="65"/>
        <v>668618849.58904111</v>
      </c>
      <c r="V243" s="3">
        <f t="shared" si="66"/>
        <v>1220909.8630136987</v>
      </c>
      <c r="W243" s="3">
        <f t="shared" si="67"/>
        <v>9384758303.8896694</v>
      </c>
      <c r="X243" s="3">
        <f t="shared" si="68"/>
        <v>3425436780919.729</v>
      </c>
      <c r="Y243" s="3">
        <f t="shared" si="69"/>
        <v>21650995409450.176</v>
      </c>
      <c r="AK243">
        <v>3.1309900000000002</v>
      </c>
      <c r="AL243">
        <v>1000000</v>
      </c>
      <c r="AM243">
        <f t="shared" si="70"/>
        <v>3130990</v>
      </c>
      <c r="AN243">
        <v>3.6038899999999998</v>
      </c>
      <c r="AO243">
        <v>1000000</v>
      </c>
      <c r="AP243">
        <f t="shared" si="71"/>
        <v>3603890</v>
      </c>
    </row>
    <row r="244" spans="1:42" x14ac:dyDescent="0.4">
      <c r="A244">
        <v>233</v>
      </c>
      <c r="B244" s="2">
        <v>4809220</v>
      </c>
      <c r="C244" s="2">
        <v>2302300</v>
      </c>
      <c r="D244" s="2">
        <f>IF(B244&lt;2500000,2500000,B244)</f>
        <v>4809220</v>
      </c>
      <c r="E244" s="2">
        <v>4559740</v>
      </c>
      <c r="F244" s="2">
        <v>2861960</v>
      </c>
      <c r="G244" s="2">
        <v>3307740</v>
      </c>
      <c r="H244" s="2">
        <v>5307443.2498002462</v>
      </c>
      <c r="I244" s="2">
        <f>33.13*(100000)</f>
        <v>3313000.0000000005</v>
      </c>
      <c r="J244" s="2">
        <f t="shared" si="54"/>
        <v>1496219.9999999995</v>
      </c>
      <c r="K244" s="2">
        <f t="shared" si="55"/>
        <v>1010700.0000000005</v>
      </c>
      <c r="L244" s="2">
        <f t="shared" si="56"/>
        <v>1496219.9999999995</v>
      </c>
      <c r="M244" s="2">
        <f t="shared" si="57"/>
        <v>1246739.9999999995</v>
      </c>
      <c r="N244" s="2">
        <f t="shared" si="58"/>
        <v>451040.00000000047</v>
      </c>
      <c r="O244" s="2">
        <f t="shared" si="59"/>
        <v>5260.0000000004657</v>
      </c>
      <c r="P244" s="2">
        <f t="shared" si="60"/>
        <v>1994443.2498002457</v>
      </c>
      <c r="Q244" s="3">
        <f t="shared" si="61"/>
        <v>6133354214.7945166</v>
      </c>
      <c r="R244" s="3">
        <f t="shared" si="62"/>
        <v>2798669835.6164412</v>
      </c>
      <c r="S244" s="3">
        <f t="shared" si="63"/>
        <v>6133354214.7945166</v>
      </c>
      <c r="T244" s="3">
        <f t="shared" si="64"/>
        <v>4258522267.3972569</v>
      </c>
      <c r="U244" s="3">
        <f t="shared" si="65"/>
        <v>557361867.3972615</v>
      </c>
      <c r="V244" s="3">
        <f t="shared" si="66"/>
        <v>75801.64383562986</v>
      </c>
      <c r="W244" s="3">
        <f t="shared" si="67"/>
        <v>10898092812.804838</v>
      </c>
      <c r="X244" s="3">
        <f t="shared" si="68"/>
        <v>3977803876673.7656</v>
      </c>
      <c r="Y244" s="3">
        <f t="shared" si="69"/>
        <v>24651850729998.121</v>
      </c>
      <c r="AK244">
        <v>2.8619599999999998</v>
      </c>
      <c r="AL244">
        <v>1000000</v>
      </c>
      <c r="AM244">
        <f t="shared" si="70"/>
        <v>2861960</v>
      </c>
      <c r="AN244">
        <v>3.3077399999999999</v>
      </c>
      <c r="AO244">
        <v>1000000</v>
      </c>
      <c r="AP244">
        <f t="shared" si="71"/>
        <v>3307740</v>
      </c>
    </row>
    <row r="245" spans="1:42" x14ac:dyDescent="0.4">
      <c r="A245">
        <v>234</v>
      </c>
      <c r="B245" s="2">
        <v>3661100</v>
      </c>
      <c r="C245" s="2">
        <v>821749</v>
      </c>
      <c r="D245" s="2">
        <f>IF(B245&lt;2500000,2500000,B245)</f>
        <v>3661100</v>
      </c>
      <c r="E245" s="2">
        <v>3374920</v>
      </c>
      <c r="F245" s="2">
        <v>2511890</v>
      </c>
      <c r="G245" s="2">
        <v>2988360</v>
      </c>
      <c r="H245" s="2">
        <v>5020196.4352186276</v>
      </c>
      <c r="I245" s="2">
        <f>36.21*(100000)</f>
        <v>3621000</v>
      </c>
      <c r="J245" s="2">
        <f t="shared" si="54"/>
        <v>40100</v>
      </c>
      <c r="K245" s="2">
        <f t="shared" si="55"/>
        <v>2799251</v>
      </c>
      <c r="L245" s="2">
        <f t="shared" si="56"/>
        <v>40100</v>
      </c>
      <c r="M245" s="2">
        <f t="shared" si="57"/>
        <v>246080</v>
      </c>
      <c r="N245" s="2">
        <f t="shared" si="58"/>
        <v>1109110</v>
      </c>
      <c r="O245" s="2">
        <f t="shared" si="59"/>
        <v>632640</v>
      </c>
      <c r="P245" s="2">
        <f t="shared" si="60"/>
        <v>1399196.4352186276</v>
      </c>
      <c r="Q245" s="3">
        <f t="shared" si="61"/>
        <v>4405506.8493150687</v>
      </c>
      <c r="R245" s="3">
        <f t="shared" si="62"/>
        <v>21467962084.934246</v>
      </c>
      <c r="S245" s="3">
        <f t="shared" si="63"/>
        <v>4405506.8493150687</v>
      </c>
      <c r="T245" s="3">
        <f t="shared" si="64"/>
        <v>165905113.42465752</v>
      </c>
      <c r="U245" s="3">
        <f t="shared" si="65"/>
        <v>3370205457.808219</v>
      </c>
      <c r="V245" s="3">
        <f t="shared" si="66"/>
        <v>1096529779.7260275</v>
      </c>
      <c r="W245" s="3">
        <f t="shared" si="67"/>
        <v>5363700450.2151098</v>
      </c>
      <c r="X245" s="3">
        <f t="shared" si="68"/>
        <v>1957750664328.5151</v>
      </c>
      <c r="Y245" s="3">
        <f t="shared" si="69"/>
        <v>21688235913559.766</v>
      </c>
      <c r="AK245">
        <v>2.5118900000000002</v>
      </c>
      <c r="AL245">
        <v>1000000</v>
      </c>
      <c r="AM245">
        <f t="shared" si="70"/>
        <v>2511890</v>
      </c>
      <c r="AN245">
        <v>2.9883600000000001</v>
      </c>
      <c r="AO245">
        <v>1000000</v>
      </c>
      <c r="AP245">
        <f t="shared" si="71"/>
        <v>2988360</v>
      </c>
    </row>
    <row r="246" spans="1:42" x14ac:dyDescent="0.4">
      <c r="A246">
        <v>235</v>
      </c>
      <c r="B246" s="2">
        <v>2843410</v>
      </c>
      <c r="C246" s="2">
        <v>374063</v>
      </c>
      <c r="D246" s="2">
        <f>IF(B246&lt;2500000,2500000,B246)</f>
        <v>2843410</v>
      </c>
      <c r="E246" s="2">
        <v>2539120</v>
      </c>
      <c r="F246" s="2">
        <v>2221910</v>
      </c>
      <c r="G246" s="2">
        <v>2694100</v>
      </c>
      <c r="H246" s="2">
        <v>4827956.214886128</v>
      </c>
      <c r="I246" s="2">
        <f>35.7*(100000)</f>
        <v>3570000.0000000005</v>
      </c>
      <c r="J246" s="2">
        <f t="shared" si="54"/>
        <v>726590.00000000047</v>
      </c>
      <c r="K246" s="2">
        <f t="shared" si="55"/>
        <v>3195937.0000000005</v>
      </c>
      <c r="L246" s="2">
        <f t="shared" si="56"/>
        <v>726590.00000000047</v>
      </c>
      <c r="M246" s="2">
        <f t="shared" si="57"/>
        <v>1030880.0000000005</v>
      </c>
      <c r="N246" s="2">
        <f t="shared" si="58"/>
        <v>1348090.0000000005</v>
      </c>
      <c r="O246" s="2">
        <f t="shared" si="59"/>
        <v>875900.00000000047</v>
      </c>
      <c r="P246" s="2">
        <f t="shared" si="60"/>
        <v>1257956.2148861275</v>
      </c>
      <c r="Q246" s="3">
        <f t="shared" si="61"/>
        <v>1446391857.8082211</v>
      </c>
      <c r="R246" s="3">
        <f t="shared" si="62"/>
        <v>27983598104.02467</v>
      </c>
      <c r="S246" s="3">
        <f t="shared" si="63"/>
        <v>1446391857.8082211</v>
      </c>
      <c r="T246" s="3">
        <f t="shared" si="64"/>
        <v>2911544039.4520574</v>
      </c>
      <c r="U246" s="3">
        <f t="shared" si="65"/>
        <v>4979031912.6027431</v>
      </c>
      <c r="V246" s="3">
        <f t="shared" si="66"/>
        <v>2101920027.3972626</v>
      </c>
      <c r="W246" s="3">
        <f t="shared" si="67"/>
        <v>4335489968.6866655</v>
      </c>
      <c r="X246" s="3">
        <f t="shared" si="68"/>
        <v>1582453838570.6331</v>
      </c>
      <c r="Y246" s="3">
        <f t="shared" si="69"/>
        <v>22165857340957.027</v>
      </c>
      <c r="AK246">
        <v>2.2219099999999998</v>
      </c>
      <c r="AL246">
        <v>1000000</v>
      </c>
      <c r="AM246">
        <f t="shared" si="70"/>
        <v>2221910</v>
      </c>
      <c r="AN246">
        <v>2.6941000000000002</v>
      </c>
      <c r="AO246">
        <v>1000000</v>
      </c>
      <c r="AP246">
        <f t="shared" si="71"/>
        <v>2694100</v>
      </c>
    </row>
    <row r="247" spans="1:42" x14ac:dyDescent="0.4">
      <c r="A247">
        <v>236</v>
      </c>
      <c r="B247" s="2">
        <v>2301790</v>
      </c>
      <c r="C247" s="2">
        <v>173246</v>
      </c>
      <c r="D247" s="2">
        <f>IF(B247&lt;2500000,2500000,B247)</f>
        <v>2500000</v>
      </c>
      <c r="E247" s="2">
        <v>1994470</v>
      </c>
      <c r="F247" s="2">
        <v>1964820</v>
      </c>
      <c r="G247" s="2">
        <v>2431490</v>
      </c>
      <c r="H247" s="2">
        <v>4659345.7221256336</v>
      </c>
      <c r="I247" s="2">
        <f>51.42*(100000)</f>
        <v>5142000</v>
      </c>
      <c r="J247" s="2">
        <f t="shared" si="54"/>
        <v>2840210</v>
      </c>
      <c r="K247" s="2">
        <f t="shared" si="55"/>
        <v>4968754</v>
      </c>
      <c r="L247" s="2">
        <f t="shared" si="56"/>
        <v>2642000</v>
      </c>
      <c r="M247" s="2">
        <f t="shared" si="57"/>
        <v>3147530</v>
      </c>
      <c r="N247" s="2">
        <f t="shared" si="58"/>
        <v>3177180</v>
      </c>
      <c r="O247" s="2">
        <f t="shared" si="59"/>
        <v>2710510</v>
      </c>
      <c r="P247" s="2">
        <f t="shared" si="60"/>
        <v>482654.27787436638</v>
      </c>
      <c r="Q247" s="3">
        <f t="shared" si="61"/>
        <v>22100802312.602741</v>
      </c>
      <c r="R247" s="3">
        <f t="shared" si="62"/>
        <v>67639770719.221916</v>
      </c>
      <c r="S247" s="3">
        <f t="shared" si="63"/>
        <v>19123736986.301369</v>
      </c>
      <c r="T247" s="3">
        <f t="shared" si="64"/>
        <v>27142315344.931507</v>
      </c>
      <c r="U247" s="3">
        <f t="shared" si="65"/>
        <v>27656089732.602741</v>
      </c>
      <c r="V247" s="3">
        <f t="shared" si="66"/>
        <v>20128395781.09589</v>
      </c>
      <c r="W247" s="3">
        <f t="shared" si="67"/>
        <v>638233293.01486599</v>
      </c>
      <c r="X247" s="3">
        <f t="shared" si="68"/>
        <v>232955151950.42609</v>
      </c>
      <c r="Y247" s="3">
        <f t="shared" si="69"/>
        <v>9834891225888.5332</v>
      </c>
      <c r="AK247">
        <v>1.96482</v>
      </c>
      <c r="AL247">
        <v>1000000</v>
      </c>
      <c r="AM247">
        <f t="shared" si="70"/>
        <v>1964820</v>
      </c>
      <c r="AN247">
        <v>2.4314900000000002</v>
      </c>
      <c r="AO247">
        <v>1000000</v>
      </c>
      <c r="AP247">
        <f t="shared" si="71"/>
        <v>2431490</v>
      </c>
    </row>
    <row r="248" spans="1:42" x14ac:dyDescent="0.4">
      <c r="A248">
        <v>237</v>
      </c>
      <c r="B248" s="2">
        <v>1893030</v>
      </c>
      <c r="C248" s="2">
        <v>81877.5</v>
      </c>
      <c r="D248" s="2">
        <f>IF(B248&lt;2500000,2500000,B248)</f>
        <v>2500000</v>
      </c>
      <c r="E248" s="2">
        <v>1593780</v>
      </c>
      <c r="F248" s="2">
        <v>1740730</v>
      </c>
      <c r="G248" s="2">
        <v>2196180</v>
      </c>
      <c r="H248" s="2">
        <v>4512730.4556990666</v>
      </c>
      <c r="I248" s="2">
        <f>39.61*(100000)</f>
        <v>3961000</v>
      </c>
      <c r="J248" s="2">
        <f t="shared" si="54"/>
        <v>2067970</v>
      </c>
      <c r="K248" s="2">
        <f t="shared" si="55"/>
        <v>3879122.5</v>
      </c>
      <c r="L248" s="2">
        <f t="shared" si="56"/>
        <v>1461000</v>
      </c>
      <c r="M248" s="2">
        <f t="shared" si="57"/>
        <v>2367220</v>
      </c>
      <c r="N248" s="2">
        <f t="shared" si="58"/>
        <v>2220270</v>
      </c>
      <c r="O248" s="2">
        <f t="shared" si="59"/>
        <v>1764820</v>
      </c>
      <c r="P248" s="2">
        <f t="shared" si="60"/>
        <v>551730.45569906663</v>
      </c>
      <c r="Q248" s="3">
        <f t="shared" si="61"/>
        <v>11716438139.452055</v>
      </c>
      <c r="R248" s="3">
        <f t="shared" si="62"/>
        <v>41226277726.044518</v>
      </c>
      <c r="S248" s="3">
        <f t="shared" si="63"/>
        <v>5848002739.7260275</v>
      </c>
      <c r="T248" s="3">
        <f t="shared" si="64"/>
        <v>15352686379.178082</v>
      </c>
      <c r="U248" s="3">
        <f t="shared" si="65"/>
        <v>13505750336.712328</v>
      </c>
      <c r="V248" s="3">
        <f t="shared" si="66"/>
        <v>8533122280.547945</v>
      </c>
      <c r="W248" s="3">
        <f t="shared" si="67"/>
        <v>833990399.3038348</v>
      </c>
      <c r="X248" s="3">
        <f t="shared" si="68"/>
        <v>304406495745.89972</v>
      </c>
      <c r="Y248" s="3">
        <f t="shared" si="69"/>
        <v>18637033064244.699</v>
      </c>
      <c r="AK248">
        <v>1.7407300000000001</v>
      </c>
      <c r="AL248">
        <v>1000000</v>
      </c>
      <c r="AM248">
        <f t="shared" si="70"/>
        <v>1740730</v>
      </c>
      <c r="AN248">
        <v>2.19618</v>
      </c>
      <c r="AO248">
        <v>1000000</v>
      </c>
      <c r="AP248">
        <f t="shared" si="71"/>
        <v>2196180</v>
      </c>
    </row>
    <row r="249" spans="1:42" x14ac:dyDescent="0.4">
      <c r="A249">
        <v>238</v>
      </c>
      <c r="B249" s="2">
        <v>1565000</v>
      </c>
      <c r="C249" s="2">
        <v>39216</v>
      </c>
      <c r="D249" s="2">
        <f>IF(B249&lt;2500000,2500000,B249)</f>
        <v>2500000</v>
      </c>
      <c r="E249" s="2">
        <v>1280480</v>
      </c>
      <c r="F249" s="2">
        <v>1541070</v>
      </c>
      <c r="G249" s="2">
        <v>1983860</v>
      </c>
      <c r="H249" s="2">
        <v>4381046.0387507305</v>
      </c>
      <c r="I249" s="2">
        <f>43.16*(100000)</f>
        <v>4316000</v>
      </c>
      <c r="J249" s="2">
        <f t="shared" si="54"/>
        <v>2751000</v>
      </c>
      <c r="K249" s="2">
        <f t="shared" si="55"/>
        <v>4276784</v>
      </c>
      <c r="L249" s="2">
        <f t="shared" si="56"/>
        <v>1816000</v>
      </c>
      <c r="M249" s="2">
        <f t="shared" si="57"/>
        <v>3035520</v>
      </c>
      <c r="N249" s="2">
        <f t="shared" si="58"/>
        <v>2774930</v>
      </c>
      <c r="O249" s="2">
        <f t="shared" si="59"/>
        <v>2332140</v>
      </c>
      <c r="P249" s="2">
        <f t="shared" si="60"/>
        <v>65046.038750730455</v>
      </c>
      <c r="Q249" s="3">
        <f t="shared" si="61"/>
        <v>20734249315.068493</v>
      </c>
      <c r="R249" s="3">
        <f t="shared" si="62"/>
        <v>50112003788.098633</v>
      </c>
      <c r="S249" s="3">
        <f t="shared" si="63"/>
        <v>9035221917.8082199</v>
      </c>
      <c r="T249" s="3">
        <f t="shared" si="64"/>
        <v>25244881288.767124</v>
      </c>
      <c r="U249" s="3">
        <f t="shared" si="65"/>
        <v>21096538369.589043</v>
      </c>
      <c r="V249" s="3">
        <f t="shared" si="66"/>
        <v>14901032820.821918</v>
      </c>
      <c r="W249" s="3">
        <f t="shared" si="67"/>
        <v>11591745.636058981</v>
      </c>
      <c r="X249" s="3">
        <f t="shared" si="68"/>
        <v>4230987157.1615281</v>
      </c>
      <c r="Y249" s="3">
        <f t="shared" si="69"/>
        <v>15697943324518.67</v>
      </c>
      <c r="AK249">
        <v>1.5410699999999999</v>
      </c>
      <c r="AL249">
        <v>1000000</v>
      </c>
      <c r="AM249">
        <f t="shared" si="70"/>
        <v>1541070</v>
      </c>
      <c r="AN249">
        <v>1.98386</v>
      </c>
      <c r="AO249">
        <v>1000000</v>
      </c>
      <c r="AP249">
        <f t="shared" si="71"/>
        <v>1983860</v>
      </c>
    </row>
    <row r="250" spans="1:42" x14ac:dyDescent="0.4">
      <c r="A250">
        <v>239</v>
      </c>
      <c r="B250" s="2">
        <v>3604810</v>
      </c>
      <c r="C250" s="2">
        <v>11184700</v>
      </c>
      <c r="D250" s="2">
        <f>IF(B250&lt;2500000,2500000,B250)</f>
        <v>3604810</v>
      </c>
      <c r="E250" s="2">
        <v>3530250</v>
      </c>
      <c r="F250" s="2">
        <v>2178290</v>
      </c>
      <c r="G250" s="2">
        <v>2339900</v>
      </c>
      <c r="H250" s="2">
        <v>4989127.265502031</v>
      </c>
      <c r="I250" s="2">
        <f>40.27*(100000)</f>
        <v>4027000.0000000005</v>
      </c>
      <c r="J250" s="2">
        <f t="shared" si="54"/>
        <v>422190.00000000047</v>
      </c>
      <c r="K250" s="2">
        <f t="shared" si="55"/>
        <v>7157700</v>
      </c>
      <c r="L250" s="2">
        <f t="shared" si="56"/>
        <v>422190.00000000047</v>
      </c>
      <c r="M250" s="2">
        <f t="shared" si="57"/>
        <v>496750.00000000047</v>
      </c>
      <c r="N250" s="2">
        <f t="shared" si="58"/>
        <v>1848710.0000000005</v>
      </c>
      <c r="O250" s="2">
        <f t="shared" si="59"/>
        <v>1687100.0000000005</v>
      </c>
      <c r="P250" s="2">
        <f t="shared" si="60"/>
        <v>962127.2655020305</v>
      </c>
      <c r="Q250" s="3">
        <f t="shared" si="61"/>
        <v>488340811.23287779</v>
      </c>
      <c r="R250" s="3">
        <f t="shared" si="62"/>
        <v>140363477506.8493</v>
      </c>
      <c r="S250" s="3">
        <f t="shared" si="63"/>
        <v>488340811.23287779</v>
      </c>
      <c r="T250" s="3">
        <f t="shared" si="64"/>
        <v>676056335.61643958</v>
      </c>
      <c r="U250" s="3">
        <f t="shared" si="65"/>
        <v>9363640175.6164436</v>
      </c>
      <c r="V250" s="3">
        <f t="shared" si="66"/>
        <v>7798099753.4246616</v>
      </c>
      <c r="W250" s="3">
        <f t="shared" si="67"/>
        <v>2536133904.1709991</v>
      </c>
      <c r="X250" s="3">
        <f t="shared" si="68"/>
        <v>925688875022.41467</v>
      </c>
      <c r="Y250" s="3">
        <f t="shared" si="69"/>
        <v>18071536746436.48</v>
      </c>
      <c r="AK250">
        <v>2.1782900000000001</v>
      </c>
      <c r="AL250">
        <v>1000000</v>
      </c>
      <c r="AM250">
        <f t="shared" si="70"/>
        <v>2178290</v>
      </c>
      <c r="AN250">
        <v>2.3399000000000001</v>
      </c>
      <c r="AO250">
        <v>1000000</v>
      </c>
      <c r="AP250">
        <f t="shared" si="71"/>
        <v>2339900</v>
      </c>
    </row>
    <row r="251" spans="1:42" x14ac:dyDescent="0.4">
      <c r="A251">
        <v>240</v>
      </c>
      <c r="B251" s="2">
        <v>3604690</v>
      </c>
      <c r="C251" s="2">
        <v>3353100</v>
      </c>
      <c r="D251" s="2">
        <f>IF(B251&lt;2500000,2500000,B251)</f>
        <v>3604690</v>
      </c>
      <c r="E251" s="2">
        <v>3508880</v>
      </c>
      <c r="F251" s="2">
        <v>1842240</v>
      </c>
      <c r="G251" s="2">
        <v>2203640</v>
      </c>
      <c r="H251" s="2">
        <v>4422929.1627186295</v>
      </c>
      <c r="I251" s="2">
        <f>43.38*(100000)</f>
        <v>4338000</v>
      </c>
      <c r="J251" s="2">
        <f t="shared" si="54"/>
        <v>733310</v>
      </c>
      <c r="K251" s="2">
        <f t="shared" si="55"/>
        <v>984900</v>
      </c>
      <c r="L251" s="2">
        <f t="shared" si="56"/>
        <v>733310</v>
      </c>
      <c r="M251" s="2">
        <f t="shared" si="57"/>
        <v>829120</v>
      </c>
      <c r="N251" s="2">
        <f t="shared" si="58"/>
        <v>2495760</v>
      </c>
      <c r="O251" s="2">
        <f t="shared" si="59"/>
        <v>2134360</v>
      </c>
      <c r="P251" s="2">
        <f t="shared" si="60"/>
        <v>84929.162718629465</v>
      </c>
      <c r="Q251" s="3">
        <f t="shared" si="61"/>
        <v>1473270016.7123287</v>
      </c>
      <c r="R251" s="3">
        <f t="shared" si="62"/>
        <v>2657610986.3013697</v>
      </c>
      <c r="S251" s="3">
        <f t="shared" si="63"/>
        <v>1473270016.7123287</v>
      </c>
      <c r="T251" s="3">
        <f t="shared" si="64"/>
        <v>1883397190.1369863</v>
      </c>
      <c r="U251" s="3">
        <f t="shared" si="65"/>
        <v>17065254733.150684</v>
      </c>
      <c r="V251" s="3">
        <f t="shared" si="66"/>
        <v>12480801670.136986</v>
      </c>
      <c r="W251" s="3">
        <f t="shared" si="67"/>
        <v>19761541.589280657</v>
      </c>
      <c r="X251" s="3">
        <f t="shared" si="68"/>
        <v>7212962680.0874405</v>
      </c>
      <c r="Y251" s="3">
        <f t="shared" si="69"/>
        <v>15524096551915.932</v>
      </c>
      <c r="AK251">
        <v>1.8422400000000001</v>
      </c>
      <c r="AL251">
        <v>1000000</v>
      </c>
      <c r="AM251">
        <f t="shared" si="70"/>
        <v>1842240</v>
      </c>
      <c r="AN251">
        <v>2.20364</v>
      </c>
      <c r="AO251">
        <v>1000000</v>
      </c>
      <c r="AP251">
        <f t="shared" si="71"/>
        <v>2203640</v>
      </c>
    </row>
    <row r="252" spans="1:42" x14ac:dyDescent="0.4">
      <c r="A252">
        <v>241</v>
      </c>
      <c r="B252" s="2">
        <v>2794720</v>
      </c>
      <c r="C252" s="2">
        <v>1437860</v>
      </c>
      <c r="D252" s="2">
        <f>IF(B252&lt;2500000,2500000,B252)</f>
        <v>2794720</v>
      </c>
      <c r="E252" s="2">
        <v>2661020</v>
      </c>
      <c r="F252" s="2">
        <v>1603290</v>
      </c>
      <c r="G252" s="2">
        <v>1961930</v>
      </c>
      <c r="H252" s="2">
        <v>4333316.982095114</v>
      </c>
      <c r="I252" s="2">
        <f>33.79*(100000)</f>
        <v>3379000</v>
      </c>
      <c r="J252" s="2">
        <f t="shared" si="54"/>
        <v>584280</v>
      </c>
      <c r="K252" s="2">
        <f t="shared" si="55"/>
        <v>1941140</v>
      </c>
      <c r="L252" s="2">
        <f t="shared" si="56"/>
        <v>584280</v>
      </c>
      <c r="M252" s="2">
        <f t="shared" si="57"/>
        <v>717980</v>
      </c>
      <c r="N252" s="2">
        <f t="shared" si="58"/>
        <v>1775710</v>
      </c>
      <c r="O252" s="2">
        <f t="shared" si="59"/>
        <v>1417070</v>
      </c>
      <c r="P252" s="2">
        <f t="shared" si="60"/>
        <v>954316.98209511396</v>
      </c>
      <c r="Q252" s="3">
        <f t="shared" si="61"/>
        <v>935296214.7945205</v>
      </c>
      <c r="R252" s="3">
        <f t="shared" si="62"/>
        <v>10323354793.424658</v>
      </c>
      <c r="S252" s="3">
        <f t="shared" si="63"/>
        <v>935296214.7945205</v>
      </c>
      <c r="T252" s="3">
        <f t="shared" si="64"/>
        <v>1412315836.7123287</v>
      </c>
      <c r="U252" s="3">
        <f t="shared" si="65"/>
        <v>8638756175.6164379</v>
      </c>
      <c r="V252" s="3">
        <f t="shared" si="66"/>
        <v>5501609273.6986303</v>
      </c>
      <c r="W252" s="3">
        <f t="shared" si="67"/>
        <v>2495125759.7674689</v>
      </c>
      <c r="X252" s="3">
        <f t="shared" si="68"/>
        <v>910720902315.1261</v>
      </c>
      <c r="Y252" s="3">
        <f t="shared" si="69"/>
        <v>24000818412189.902</v>
      </c>
      <c r="AK252">
        <v>1.6032900000000001</v>
      </c>
      <c r="AL252">
        <v>1000000</v>
      </c>
      <c r="AM252">
        <f t="shared" si="70"/>
        <v>1603290</v>
      </c>
      <c r="AN252">
        <v>1.96193</v>
      </c>
      <c r="AO252">
        <v>1000000</v>
      </c>
      <c r="AP252">
        <f t="shared" si="71"/>
        <v>1961930</v>
      </c>
    </row>
    <row r="253" spans="1:42" x14ac:dyDescent="0.4">
      <c r="A253">
        <v>242</v>
      </c>
      <c r="B253" s="2">
        <v>2540840</v>
      </c>
      <c r="C253" s="2">
        <v>3620550</v>
      </c>
      <c r="D253" s="2">
        <f>IF(B253&lt;2500000,2500000,B253)</f>
        <v>2540840</v>
      </c>
      <c r="E253" s="2">
        <v>2437590</v>
      </c>
      <c r="F253" s="2">
        <v>1625300</v>
      </c>
      <c r="G253" s="2">
        <v>1904980</v>
      </c>
      <c r="H253" s="2">
        <v>4395079.3051071446</v>
      </c>
      <c r="I253" s="2">
        <f>40.56*(100000)</f>
        <v>4056000</v>
      </c>
      <c r="J253" s="2">
        <f t="shared" si="54"/>
        <v>1515160</v>
      </c>
      <c r="K253" s="2">
        <f t="shared" si="55"/>
        <v>435450</v>
      </c>
      <c r="L253" s="2">
        <f t="shared" si="56"/>
        <v>1515160</v>
      </c>
      <c r="M253" s="2">
        <f t="shared" si="57"/>
        <v>1618410</v>
      </c>
      <c r="N253" s="2">
        <f t="shared" si="58"/>
        <v>2430700</v>
      </c>
      <c r="O253" s="2">
        <f t="shared" si="59"/>
        <v>2151020</v>
      </c>
      <c r="P253" s="2">
        <f t="shared" si="60"/>
        <v>339079.30510714464</v>
      </c>
      <c r="Q253" s="3">
        <f t="shared" si="61"/>
        <v>6289615960.547945</v>
      </c>
      <c r="R253" s="3">
        <f t="shared" si="62"/>
        <v>519497815.06849313</v>
      </c>
      <c r="S253" s="3">
        <f t="shared" si="63"/>
        <v>6289615960.547945</v>
      </c>
      <c r="T253" s="3">
        <f t="shared" si="64"/>
        <v>7176029940</v>
      </c>
      <c r="U253" s="3">
        <f t="shared" si="65"/>
        <v>16187130109.589041</v>
      </c>
      <c r="V253" s="3">
        <f t="shared" si="66"/>
        <v>12676402850.410959</v>
      </c>
      <c r="W253" s="3">
        <f t="shared" si="67"/>
        <v>314999383.977929</v>
      </c>
      <c r="X253" s="3">
        <f t="shared" si="68"/>
        <v>114974775151.94409</v>
      </c>
      <c r="Y253" s="3">
        <f t="shared" si="69"/>
        <v>17825816091641.957</v>
      </c>
      <c r="AK253">
        <v>1.6253</v>
      </c>
      <c r="AL253">
        <v>1000000</v>
      </c>
      <c r="AM253">
        <f t="shared" si="70"/>
        <v>1625300</v>
      </c>
      <c r="AN253">
        <v>1.9049799999999999</v>
      </c>
      <c r="AO253">
        <v>1000000</v>
      </c>
      <c r="AP253">
        <f t="shared" si="71"/>
        <v>1904980</v>
      </c>
    </row>
    <row r="254" spans="1:42" x14ac:dyDescent="0.4">
      <c r="A254">
        <v>243</v>
      </c>
      <c r="B254" s="2">
        <v>2146210</v>
      </c>
      <c r="C254" s="2">
        <v>1197480</v>
      </c>
      <c r="D254" s="2">
        <f>IF(B254&lt;2500000,2500000,B254)</f>
        <v>2500000</v>
      </c>
      <c r="E254" s="2">
        <v>2023380</v>
      </c>
      <c r="F254" s="2">
        <v>1411030</v>
      </c>
      <c r="G254" s="2">
        <v>1738170</v>
      </c>
      <c r="H254" s="2">
        <v>4159156.9459265531</v>
      </c>
      <c r="I254" s="2">
        <f>40.3*(100000)</f>
        <v>4029999.9999999995</v>
      </c>
      <c r="J254" s="2">
        <f t="shared" si="54"/>
        <v>1883789.9999999995</v>
      </c>
      <c r="K254" s="2">
        <f t="shared" si="55"/>
        <v>2832519.9999999995</v>
      </c>
      <c r="L254" s="2">
        <f t="shared" si="56"/>
        <v>1529999.9999999995</v>
      </c>
      <c r="M254" s="2">
        <f t="shared" si="57"/>
        <v>2006619.9999999995</v>
      </c>
      <c r="N254" s="2">
        <f t="shared" si="58"/>
        <v>2618969.9999999995</v>
      </c>
      <c r="O254" s="2">
        <f t="shared" si="59"/>
        <v>2291829.9999999995</v>
      </c>
      <c r="P254" s="2">
        <f t="shared" si="60"/>
        <v>129156.94592655357</v>
      </c>
      <c r="Q254" s="3">
        <f t="shared" si="61"/>
        <v>9722369216.7123241</v>
      </c>
      <c r="R254" s="3">
        <f t="shared" si="62"/>
        <v>21981286439.452045</v>
      </c>
      <c r="S254" s="3">
        <f t="shared" si="63"/>
        <v>6413424657.5342426</v>
      </c>
      <c r="T254" s="3">
        <f t="shared" si="64"/>
        <v>11031572121.643829</v>
      </c>
      <c r="U254" s="3">
        <f t="shared" si="65"/>
        <v>18791791399.726021</v>
      </c>
      <c r="V254" s="3">
        <f t="shared" si="66"/>
        <v>14390369175.068487</v>
      </c>
      <c r="W254" s="3">
        <f t="shared" si="67"/>
        <v>45702785.427601866</v>
      </c>
      <c r="X254" s="3">
        <f t="shared" si="68"/>
        <v>16681516681.074682</v>
      </c>
      <c r="Y254" s="3">
        <f t="shared" si="69"/>
        <v>18046039368354.285</v>
      </c>
      <c r="AK254">
        <v>1.41103</v>
      </c>
      <c r="AL254">
        <v>1000000</v>
      </c>
      <c r="AM254">
        <f t="shared" si="70"/>
        <v>1411030</v>
      </c>
      <c r="AN254">
        <v>1.73817</v>
      </c>
      <c r="AO254">
        <v>1000000</v>
      </c>
      <c r="AP254">
        <f t="shared" si="71"/>
        <v>1738170</v>
      </c>
    </row>
    <row r="255" spans="1:42" x14ac:dyDescent="0.4">
      <c r="A255">
        <v>244</v>
      </c>
      <c r="B255" s="2">
        <v>3599650</v>
      </c>
      <c r="C255" s="2">
        <v>10212300</v>
      </c>
      <c r="D255" s="2">
        <f>IF(B255&lt;2500000,2500000,B255)</f>
        <v>3599650</v>
      </c>
      <c r="E255" s="2">
        <v>3626470</v>
      </c>
      <c r="F255" s="2">
        <v>1950850</v>
      </c>
      <c r="G255" s="2">
        <v>2039460</v>
      </c>
      <c r="H255" s="2">
        <v>4682279.9068715628</v>
      </c>
      <c r="I255" s="2">
        <f>34.87*(100000)</f>
        <v>3486999.9999999995</v>
      </c>
      <c r="J255" s="2">
        <f t="shared" si="54"/>
        <v>112650.00000000047</v>
      </c>
      <c r="K255" s="2">
        <f t="shared" si="55"/>
        <v>6725300</v>
      </c>
      <c r="L255" s="2">
        <f t="shared" si="56"/>
        <v>112650.00000000047</v>
      </c>
      <c r="M255" s="2">
        <f t="shared" si="57"/>
        <v>139470.00000000047</v>
      </c>
      <c r="N255" s="2">
        <f t="shared" si="58"/>
        <v>1536149.9999999995</v>
      </c>
      <c r="O255" s="2">
        <f t="shared" si="59"/>
        <v>1447539.9999999995</v>
      </c>
      <c r="P255" s="2">
        <f t="shared" si="60"/>
        <v>1195279.9068715633</v>
      </c>
      <c r="Q255" s="3">
        <f t="shared" si="61"/>
        <v>34767184.93150714</v>
      </c>
      <c r="R255" s="3">
        <f t="shared" si="62"/>
        <v>123916876958.90411</v>
      </c>
      <c r="S255" s="3">
        <f t="shared" si="63"/>
        <v>34767184.93150714</v>
      </c>
      <c r="T255" s="3">
        <f t="shared" si="64"/>
        <v>53292824.383561999</v>
      </c>
      <c r="U255" s="3">
        <f t="shared" si="65"/>
        <v>6465087184.9315033</v>
      </c>
      <c r="V255" s="3">
        <f t="shared" si="66"/>
        <v>5740745346.8493109</v>
      </c>
      <c r="W255" s="3">
        <f t="shared" si="67"/>
        <v>3914230289.7832685</v>
      </c>
      <c r="X255" s="3">
        <f t="shared" si="68"/>
        <v>1428694055770.8931</v>
      </c>
      <c r="Y255" s="3">
        <f t="shared" si="69"/>
        <v>22954284801231</v>
      </c>
      <c r="AK255">
        <v>1.95085</v>
      </c>
      <c r="AL255">
        <v>1000000</v>
      </c>
      <c r="AM255">
        <f t="shared" si="70"/>
        <v>1950850</v>
      </c>
      <c r="AN255">
        <v>2.0394600000000001</v>
      </c>
      <c r="AO255">
        <v>1000000</v>
      </c>
      <c r="AP255">
        <f t="shared" si="71"/>
        <v>2039460</v>
      </c>
    </row>
    <row r="256" spans="1:42" x14ac:dyDescent="0.4">
      <c r="A256">
        <v>245</v>
      </c>
      <c r="B256" s="2">
        <v>3466000</v>
      </c>
      <c r="C256" s="2">
        <v>3170870</v>
      </c>
      <c r="D256" s="2">
        <f>IF(B256&lt;2500000,2500000,B256)</f>
        <v>3466000</v>
      </c>
      <c r="E256" s="2">
        <v>3449970</v>
      </c>
      <c r="F256" s="2">
        <v>1648690</v>
      </c>
      <c r="G256" s="2">
        <v>1915170</v>
      </c>
      <c r="H256" s="2">
        <v>4203572.8856676798</v>
      </c>
      <c r="I256" s="2">
        <f>31.84*(100000)</f>
        <v>3184000</v>
      </c>
      <c r="J256" s="2">
        <f t="shared" si="54"/>
        <v>282000</v>
      </c>
      <c r="K256" s="2">
        <f t="shared" si="55"/>
        <v>13130</v>
      </c>
      <c r="L256" s="2">
        <f t="shared" si="56"/>
        <v>282000</v>
      </c>
      <c r="M256" s="2">
        <f t="shared" si="57"/>
        <v>265970</v>
      </c>
      <c r="N256" s="2">
        <f t="shared" si="58"/>
        <v>1535310</v>
      </c>
      <c r="O256" s="2">
        <f t="shared" si="59"/>
        <v>1268830</v>
      </c>
      <c r="P256" s="2">
        <f t="shared" si="60"/>
        <v>1019572.8856676798</v>
      </c>
      <c r="Q256" s="3">
        <f t="shared" si="61"/>
        <v>217873972.60273972</v>
      </c>
      <c r="R256" s="3">
        <f t="shared" si="62"/>
        <v>472320.27397260274</v>
      </c>
      <c r="S256" s="3">
        <f t="shared" si="63"/>
        <v>217873972.60273972</v>
      </c>
      <c r="T256" s="3">
        <f t="shared" si="64"/>
        <v>193808331.23287672</v>
      </c>
      <c r="U256" s="3">
        <f t="shared" si="65"/>
        <v>6458018619.452055</v>
      </c>
      <c r="V256" s="3">
        <f t="shared" si="66"/>
        <v>4410765942.191781</v>
      </c>
      <c r="W256" s="3">
        <f t="shared" si="67"/>
        <v>2848024299.1471772</v>
      </c>
      <c r="X256" s="3">
        <f t="shared" si="68"/>
        <v>1039528869188.7197</v>
      </c>
      <c r="Y256" s="3">
        <f t="shared" si="69"/>
        <v>25949477987532.367</v>
      </c>
      <c r="AK256">
        <v>1.64869</v>
      </c>
      <c r="AL256">
        <v>1000000</v>
      </c>
      <c r="AM256">
        <f t="shared" si="70"/>
        <v>1648690</v>
      </c>
      <c r="AN256">
        <v>1.91517</v>
      </c>
      <c r="AO256">
        <v>1000000</v>
      </c>
      <c r="AP256">
        <f t="shared" si="71"/>
        <v>1915170</v>
      </c>
    </row>
    <row r="257" spans="1:42" x14ac:dyDescent="0.4">
      <c r="A257">
        <v>246</v>
      </c>
      <c r="B257" s="2">
        <v>2644700</v>
      </c>
      <c r="C257" s="2">
        <v>1370530</v>
      </c>
      <c r="D257" s="2">
        <f>IF(B257&lt;2500000,2500000,B257)</f>
        <v>2644700</v>
      </c>
      <c r="E257" s="2">
        <v>2576360</v>
      </c>
      <c r="F257" s="2">
        <v>1436390</v>
      </c>
      <c r="G257" s="2">
        <v>1707100</v>
      </c>
      <c r="H257" s="2">
        <v>4120069.779476414</v>
      </c>
      <c r="I257" s="2">
        <f>30.1*(100000)</f>
        <v>3010000</v>
      </c>
      <c r="J257" s="2">
        <f t="shared" si="54"/>
        <v>365300</v>
      </c>
      <c r="K257" s="2">
        <f t="shared" si="55"/>
        <v>1639470</v>
      </c>
      <c r="L257" s="2">
        <f t="shared" si="56"/>
        <v>365300</v>
      </c>
      <c r="M257" s="2">
        <f t="shared" si="57"/>
        <v>433640</v>
      </c>
      <c r="N257" s="2">
        <f t="shared" si="58"/>
        <v>1573610</v>
      </c>
      <c r="O257" s="2">
        <f t="shared" si="59"/>
        <v>1302900</v>
      </c>
      <c r="P257" s="2">
        <f t="shared" si="60"/>
        <v>1110069.779476414</v>
      </c>
      <c r="Q257" s="3">
        <f t="shared" si="61"/>
        <v>365600246.57534248</v>
      </c>
      <c r="R257" s="3">
        <f t="shared" si="62"/>
        <v>7364005153.1506853</v>
      </c>
      <c r="S257" s="3">
        <f t="shared" si="63"/>
        <v>365600246.57534248</v>
      </c>
      <c r="T257" s="3">
        <f t="shared" si="64"/>
        <v>515188081.0958904</v>
      </c>
      <c r="U257" s="3">
        <f t="shared" si="65"/>
        <v>6784242279.7260275</v>
      </c>
      <c r="V257" s="3">
        <f t="shared" si="66"/>
        <v>4650817561.643836</v>
      </c>
      <c r="W257" s="3">
        <f t="shared" si="67"/>
        <v>3376040863.8542862</v>
      </c>
      <c r="X257" s="3">
        <f t="shared" si="68"/>
        <v>1232254915306.8145</v>
      </c>
      <c r="Y257" s="3">
        <f t="shared" si="69"/>
        <v>27752487916299.492</v>
      </c>
      <c r="AK257">
        <v>1.4363900000000001</v>
      </c>
      <c r="AL257">
        <v>1000000</v>
      </c>
      <c r="AM257">
        <f t="shared" si="70"/>
        <v>1436390</v>
      </c>
      <c r="AN257">
        <v>1.7071000000000001</v>
      </c>
      <c r="AO257">
        <v>1000000</v>
      </c>
      <c r="AP257">
        <f t="shared" si="71"/>
        <v>1707100</v>
      </c>
    </row>
    <row r="258" spans="1:42" x14ac:dyDescent="0.4">
      <c r="A258">
        <v>247</v>
      </c>
      <c r="B258" s="2">
        <v>1871800</v>
      </c>
      <c r="C258" s="2">
        <v>616598</v>
      </c>
      <c r="D258" s="2">
        <f>IF(B258&lt;2500000,2500000,B258)</f>
        <v>2500000</v>
      </c>
      <c r="E258" s="2">
        <v>1769880</v>
      </c>
      <c r="F258" s="2">
        <v>1256990</v>
      </c>
      <c r="G258" s="2">
        <v>1527620</v>
      </c>
      <c r="H258" s="2">
        <v>3986410.4327587751</v>
      </c>
      <c r="I258" s="2">
        <f>28.67*(100000)</f>
        <v>2867000</v>
      </c>
      <c r="J258" s="2">
        <f t="shared" si="54"/>
        <v>995200</v>
      </c>
      <c r="K258" s="2">
        <f t="shared" si="55"/>
        <v>2250402</v>
      </c>
      <c r="L258" s="2">
        <f t="shared" si="56"/>
        <v>367000</v>
      </c>
      <c r="M258" s="2">
        <f t="shared" si="57"/>
        <v>1097120</v>
      </c>
      <c r="N258" s="2">
        <f t="shared" si="58"/>
        <v>1610010</v>
      </c>
      <c r="O258" s="2">
        <f t="shared" si="59"/>
        <v>1339380</v>
      </c>
      <c r="P258" s="2">
        <f t="shared" si="60"/>
        <v>1119410.4327587751</v>
      </c>
      <c r="Q258" s="3">
        <f t="shared" si="61"/>
        <v>2713487780.821918</v>
      </c>
      <c r="R258" s="3">
        <f t="shared" si="62"/>
        <v>13874819620.832876</v>
      </c>
      <c r="S258" s="3">
        <f t="shared" si="63"/>
        <v>369010958.9041096</v>
      </c>
      <c r="T258" s="3">
        <f t="shared" si="64"/>
        <v>3297732313.4246573</v>
      </c>
      <c r="U258" s="3">
        <f t="shared" si="65"/>
        <v>7101732055.0684929</v>
      </c>
      <c r="V258" s="3">
        <f t="shared" si="66"/>
        <v>4914900779.1780825</v>
      </c>
      <c r="W258" s="3">
        <f t="shared" si="67"/>
        <v>3433095114.9840765</v>
      </c>
      <c r="X258" s="3">
        <f t="shared" si="68"/>
        <v>1253079716969.188</v>
      </c>
      <c r="Y258" s="3">
        <f t="shared" si="69"/>
        <v>29279602938217.301</v>
      </c>
      <c r="AK258">
        <v>1.2569900000000001</v>
      </c>
      <c r="AL258">
        <v>1000000</v>
      </c>
      <c r="AM258">
        <f t="shared" si="70"/>
        <v>1256990</v>
      </c>
      <c r="AN258">
        <v>1.52762</v>
      </c>
      <c r="AO258">
        <v>1000000</v>
      </c>
      <c r="AP258">
        <f t="shared" si="71"/>
        <v>1527620</v>
      </c>
    </row>
    <row r="259" spans="1:42" x14ac:dyDescent="0.4">
      <c r="A259">
        <v>248</v>
      </c>
      <c r="B259" s="2">
        <v>4230030</v>
      </c>
      <c r="C259" s="2">
        <v>13684600</v>
      </c>
      <c r="D259" s="2">
        <f>IF(B259&lt;2500000,2500000,B259)</f>
        <v>4230030</v>
      </c>
      <c r="E259" s="2">
        <v>4339370</v>
      </c>
      <c r="F259" s="2">
        <v>2088120</v>
      </c>
      <c r="G259" s="2">
        <v>2032900.0000000002</v>
      </c>
      <c r="H259" s="2">
        <v>4745296.0906413188</v>
      </c>
      <c r="I259" s="2">
        <f>29.88*(100000)</f>
        <v>2988000</v>
      </c>
      <c r="J259" s="2">
        <f t="shared" si="54"/>
        <v>1242030</v>
      </c>
      <c r="K259" s="2">
        <f t="shared" si="55"/>
        <v>10696600</v>
      </c>
      <c r="L259" s="2">
        <f t="shared" si="56"/>
        <v>1242030</v>
      </c>
      <c r="M259" s="2">
        <f t="shared" si="57"/>
        <v>1351370</v>
      </c>
      <c r="N259" s="2">
        <f t="shared" si="58"/>
        <v>899880</v>
      </c>
      <c r="O259" s="2">
        <f t="shared" si="59"/>
        <v>955099.99999999977</v>
      </c>
      <c r="P259" s="2">
        <f t="shared" si="60"/>
        <v>1757296.0906413188</v>
      </c>
      <c r="Q259" s="3">
        <f t="shared" si="61"/>
        <v>4226406906.5753427</v>
      </c>
      <c r="R259" s="3">
        <f t="shared" si="62"/>
        <v>313471922082.19177</v>
      </c>
      <c r="S259" s="3">
        <f t="shared" si="63"/>
        <v>4226406906.5753427</v>
      </c>
      <c r="T259" s="3">
        <f t="shared" si="64"/>
        <v>5003290073.6986303</v>
      </c>
      <c r="U259" s="3">
        <f t="shared" si="65"/>
        <v>2218586340.821918</v>
      </c>
      <c r="V259" s="3">
        <f t="shared" si="66"/>
        <v>2499221945.2054782</v>
      </c>
      <c r="W259" s="3">
        <f t="shared" si="67"/>
        <v>8460519315.5705814</v>
      </c>
      <c r="X259" s="3">
        <f t="shared" si="68"/>
        <v>3088089550183.2622</v>
      </c>
      <c r="Y259" s="3">
        <f t="shared" si="69"/>
        <v>27984766688902.23</v>
      </c>
      <c r="AK259">
        <v>2.08812</v>
      </c>
      <c r="AL259">
        <v>1000000</v>
      </c>
      <c r="AM259">
        <f t="shared" si="70"/>
        <v>2088120</v>
      </c>
      <c r="AN259">
        <v>2.0329000000000002</v>
      </c>
      <c r="AO259">
        <v>1000000</v>
      </c>
      <c r="AP259">
        <f t="shared" si="71"/>
        <v>2032900.0000000002</v>
      </c>
    </row>
    <row r="260" spans="1:42" x14ac:dyDescent="0.4">
      <c r="A260">
        <v>249</v>
      </c>
      <c r="B260" s="2">
        <v>4389820</v>
      </c>
      <c r="C260" s="2">
        <v>4921610</v>
      </c>
      <c r="D260" s="2">
        <f>IF(B260&lt;2500000,2500000,B260)</f>
        <v>4389820</v>
      </c>
      <c r="E260" s="2">
        <v>4453110</v>
      </c>
      <c r="F260" s="2">
        <v>1811150</v>
      </c>
      <c r="G260" s="2">
        <v>1991310</v>
      </c>
      <c r="H260" s="2">
        <v>4171777.687662703</v>
      </c>
      <c r="I260" s="2">
        <f>28.95*(100000)</f>
        <v>2895000</v>
      </c>
      <c r="J260" s="2">
        <f t="shared" si="54"/>
        <v>1494820</v>
      </c>
      <c r="K260" s="2">
        <f t="shared" si="55"/>
        <v>2026610</v>
      </c>
      <c r="L260" s="2">
        <f t="shared" si="56"/>
        <v>1494820</v>
      </c>
      <c r="M260" s="2">
        <f t="shared" si="57"/>
        <v>1558110</v>
      </c>
      <c r="N260" s="2">
        <f t="shared" si="58"/>
        <v>1083850</v>
      </c>
      <c r="O260" s="2">
        <f t="shared" si="59"/>
        <v>903690</v>
      </c>
      <c r="P260" s="2">
        <f t="shared" si="60"/>
        <v>1276777.687662703</v>
      </c>
      <c r="Q260" s="3">
        <f t="shared" si="61"/>
        <v>6121881732.6027393</v>
      </c>
      <c r="R260" s="3">
        <f t="shared" si="62"/>
        <v>11252460526.301371</v>
      </c>
      <c r="S260" s="3">
        <f t="shared" si="63"/>
        <v>6121881732.6027393</v>
      </c>
      <c r="T260" s="3">
        <f t="shared" si="64"/>
        <v>6651251430.4109592</v>
      </c>
      <c r="U260" s="3">
        <f t="shared" si="65"/>
        <v>3218440609.5890412</v>
      </c>
      <c r="V260" s="3">
        <f t="shared" si="66"/>
        <v>2237412646.8493152</v>
      </c>
      <c r="W260" s="3">
        <f t="shared" si="67"/>
        <v>4466195243.050189</v>
      </c>
      <c r="X260" s="3">
        <f t="shared" si="68"/>
        <v>1630161263713.3188</v>
      </c>
      <c r="Y260" s="3">
        <f t="shared" si="69"/>
        <v>28977367409450.176</v>
      </c>
      <c r="AK260">
        <v>1.81115</v>
      </c>
      <c r="AL260">
        <v>1000000</v>
      </c>
      <c r="AM260">
        <f t="shared" si="70"/>
        <v>1811150</v>
      </c>
      <c r="AN260">
        <v>1.9913099999999999</v>
      </c>
      <c r="AO260">
        <v>1000000</v>
      </c>
      <c r="AP260">
        <f t="shared" si="71"/>
        <v>1991310</v>
      </c>
    </row>
    <row r="261" spans="1:42" x14ac:dyDescent="0.4">
      <c r="A261">
        <v>250</v>
      </c>
      <c r="B261" s="2">
        <v>3534770</v>
      </c>
      <c r="C261" s="2">
        <v>2023060</v>
      </c>
      <c r="D261" s="2">
        <f>IF(B261&lt;2500000,2500000,B261)</f>
        <v>3534770</v>
      </c>
      <c r="E261" s="2">
        <v>3521360</v>
      </c>
      <c r="F261" s="2">
        <v>1560320</v>
      </c>
      <c r="G261" s="2">
        <v>1766840</v>
      </c>
      <c r="H261" s="2">
        <v>4090864.6674362551</v>
      </c>
      <c r="I261" s="2">
        <f>28.4*(100000)</f>
        <v>2840000</v>
      </c>
      <c r="J261" s="2">
        <f t="shared" si="54"/>
        <v>694770</v>
      </c>
      <c r="K261" s="2">
        <f t="shared" si="55"/>
        <v>816940</v>
      </c>
      <c r="L261" s="2">
        <f t="shared" si="56"/>
        <v>694770</v>
      </c>
      <c r="M261" s="2">
        <f t="shared" si="57"/>
        <v>681360</v>
      </c>
      <c r="N261" s="2">
        <f t="shared" si="58"/>
        <v>1279680</v>
      </c>
      <c r="O261" s="2">
        <f t="shared" si="59"/>
        <v>1073160</v>
      </c>
      <c r="P261" s="2">
        <f t="shared" si="60"/>
        <v>1250864.6674362551</v>
      </c>
      <c r="Q261" s="3">
        <f t="shared" si="61"/>
        <v>1322480418.9041095</v>
      </c>
      <c r="R261" s="3">
        <f t="shared" si="62"/>
        <v>1828468393.4246576</v>
      </c>
      <c r="S261" s="3">
        <f t="shared" si="63"/>
        <v>1322480418.9041095</v>
      </c>
      <c r="T261" s="3">
        <f t="shared" si="64"/>
        <v>1271921779.7260275</v>
      </c>
      <c r="U261" s="3">
        <f t="shared" si="65"/>
        <v>4486523020.2739725</v>
      </c>
      <c r="V261" s="3">
        <f t="shared" si="66"/>
        <v>3155266809.8630137</v>
      </c>
      <c r="W261" s="3">
        <f t="shared" si="67"/>
        <v>4286746345.8641453</v>
      </c>
      <c r="X261" s="3">
        <f t="shared" si="68"/>
        <v>1564662416240.4131</v>
      </c>
      <c r="Y261" s="3">
        <f t="shared" si="69"/>
        <v>29572529340957.027</v>
      </c>
      <c r="AK261">
        <v>1.5603199999999999</v>
      </c>
      <c r="AL261">
        <v>1000000</v>
      </c>
      <c r="AM261">
        <f t="shared" si="70"/>
        <v>1560320</v>
      </c>
      <c r="AN261">
        <v>1.76684</v>
      </c>
      <c r="AO261">
        <v>1000000</v>
      </c>
      <c r="AP261">
        <f t="shared" si="71"/>
        <v>1766840</v>
      </c>
    </row>
    <row r="262" spans="1:42" x14ac:dyDescent="0.4">
      <c r="A262">
        <v>251</v>
      </c>
      <c r="B262" s="2">
        <v>2447660</v>
      </c>
      <c r="C262" s="2">
        <v>903332</v>
      </c>
      <c r="D262" s="2">
        <f>IF(B262&lt;2500000,2500000,B262)</f>
        <v>2500000</v>
      </c>
      <c r="E262" s="2">
        <v>2381150</v>
      </c>
      <c r="F262" s="2">
        <v>1360310</v>
      </c>
      <c r="G262" s="2">
        <v>1573830</v>
      </c>
      <c r="H262" s="2">
        <v>3941337.366569683</v>
      </c>
      <c r="I262" s="2">
        <f>27.16*(100000)</f>
        <v>2716000</v>
      </c>
      <c r="J262" s="2">
        <f t="shared" si="54"/>
        <v>268340</v>
      </c>
      <c r="K262" s="2">
        <f t="shared" si="55"/>
        <v>1812668</v>
      </c>
      <c r="L262" s="2">
        <f t="shared" si="56"/>
        <v>216000</v>
      </c>
      <c r="M262" s="2">
        <f t="shared" si="57"/>
        <v>334850</v>
      </c>
      <c r="N262" s="2">
        <f t="shared" si="58"/>
        <v>1355690</v>
      </c>
      <c r="O262" s="2">
        <f t="shared" si="59"/>
        <v>1142170</v>
      </c>
      <c r="P262" s="2">
        <f t="shared" si="60"/>
        <v>1225337.366569683</v>
      </c>
      <c r="Q262" s="3">
        <f t="shared" si="61"/>
        <v>197277686.57534248</v>
      </c>
      <c r="R262" s="3">
        <f t="shared" si="62"/>
        <v>9002096652.6684933</v>
      </c>
      <c r="S262" s="3">
        <f t="shared" si="63"/>
        <v>127824657.53424658</v>
      </c>
      <c r="T262" s="3">
        <f t="shared" si="64"/>
        <v>307190472.60273975</v>
      </c>
      <c r="U262" s="3">
        <f t="shared" si="65"/>
        <v>5035329797.5342464</v>
      </c>
      <c r="V262" s="3">
        <f t="shared" si="66"/>
        <v>3574115914.7945204</v>
      </c>
      <c r="W262" s="3">
        <f t="shared" si="67"/>
        <v>4113566197.0189743</v>
      </c>
      <c r="X262" s="3">
        <f t="shared" si="68"/>
        <v>1501451661911.9255</v>
      </c>
      <c r="Y262" s="3">
        <f t="shared" si="69"/>
        <v>30936544968354.285</v>
      </c>
      <c r="AK262">
        <v>1.3603099999999999</v>
      </c>
      <c r="AL262">
        <v>1000000</v>
      </c>
      <c r="AM262">
        <f t="shared" si="70"/>
        <v>1360310</v>
      </c>
      <c r="AN262">
        <v>1.5738300000000001</v>
      </c>
      <c r="AO262">
        <v>1000000</v>
      </c>
      <c r="AP262">
        <f t="shared" si="71"/>
        <v>1573830</v>
      </c>
    </row>
    <row r="263" spans="1:42" x14ac:dyDescent="0.4">
      <c r="A263">
        <v>252</v>
      </c>
      <c r="B263" s="2">
        <v>1812230</v>
      </c>
      <c r="C263" s="2">
        <v>416243</v>
      </c>
      <c r="D263" s="2">
        <f>IF(B263&lt;2500000,2500000,B263)</f>
        <v>2500000</v>
      </c>
      <c r="E263" s="2">
        <v>1711980</v>
      </c>
      <c r="F263" s="2">
        <v>1191840</v>
      </c>
      <c r="G263" s="2">
        <v>1408930</v>
      </c>
      <c r="H263" s="2">
        <v>3812802.8399693142</v>
      </c>
      <c r="I263" s="2">
        <f>28.63*(100000)</f>
        <v>2863000</v>
      </c>
      <c r="J263" s="2">
        <f t="shared" si="54"/>
        <v>1050770</v>
      </c>
      <c r="K263" s="2">
        <f t="shared" si="55"/>
        <v>2446757</v>
      </c>
      <c r="L263" s="2">
        <f t="shared" si="56"/>
        <v>363000</v>
      </c>
      <c r="M263" s="2">
        <f t="shared" si="57"/>
        <v>1151020</v>
      </c>
      <c r="N263" s="2">
        <f t="shared" si="58"/>
        <v>1671160</v>
      </c>
      <c r="O263" s="2">
        <f t="shared" si="59"/>
        <v>1454070</v>
      </c>
      <c r="P263" s="2">
        <f t="shared" si="60"/>
        <v>949802.83996931417</v>
      </c>
      <c r="Q263" s="3">
        <f t="shared" si="61"/>
        <v>3024979706.5753427</v>
      </c>
      <c r="R263" s="3">
        <f t="shared" si="62"/>
        <v>16401698128.901369</v>
      </c>
      <c r="S263" s="3">
        <f t="shared" si="63"/>
        <v>361010958.9041096</v>
      </c>
      <c r="T263" s="3">
        <f t="shared" si="64"/>
        <v>3629717918.9041095</v>
      </c>
      <c r="U263" s="3">
        <f t="shared" si="65"/>
        <v>7651440398.90411</v>
      </c>
      <c r="V263" s="3">
        <f t="shared" si="66"/>
        <v>5792656342.191781</v>
      </c>
      <c r="W263" s="3">
        <f t="shared" si="67"/>
        <v>2471576533.7363691</v>
      </c>
      <c r="X263" s="3">
        <f t="shared" si="68"/>
        <v>902125434813.77466</v>
      </c>
      <c r="Y263" s="3">
        <f t="shared" si="69"/>
        <v>29322907442326.891</v>
      </c>
      <c r="AK263">
        <v>1.19184</v>
      </c>
      <c r="AL263">
        <v>1000000</v>
      </c>
      <c r="AM263">
        <f t="shared" si="70"/>
        <v>1191840</v>
      </c>
      <c r="AN263">
        <v>1.40893</v>
      </c>
      <c r="AO263">
        <v>1000000</v>
      </c>
      <c r="AP263">
        <f t="shared" si="71"/>
        <v>1408930</v>
      </c>
    </row>
    <row r="264" spans="1:42" x14ac:dyDescent="0.4">
      <c r="A264">
        <v>253</v>
      </c>
      <c r="B264" s="2">
        <v>2976000</v>
      </c>
      <c r="C264" s="2">
        <v>7639890</v>
      </c>
      <c r="D264" s="2">
        <f>IF(B264&lt;2500000,2500000,B264)</f>
        <v>2976000</v>
      </c>
      <c r="E264" s="2">
        <v>2984090</v>
      </c>
      <c r="F264" s="2">
        <v>1592630</v>
      </c>
      <c r="G264" s="2">
        <v>1631660</v>
      </c>
      <c r="H264" s="2">
        <v>4185487.822662232</v>
      </c>
      <c r="I264" s="2">
        <f>30.91*(100000)</f>
        <v>3091000</v>
      </c>
      <c r="J264" s="2">
        <f t="shared" si="54"/>
        <v>115000</v>
      </c>
      <c r="K264" s="2">
        <f t="shared" si="55"/>
        <v>4548890</v>
      </c>
      <c r="L264" s="2">
        <f t="shared" si="56"/>
        <v>115000</v>
      </c>
      <c r="M264" s="2">
        <f t="shared" si="57"/>
        <v>106910</v>
      </c>
      <c r="N264" s="2">
        <f t="shared" si="58"/>
        <v>1498370</v>
      </c>
      <c r="O264" s="2">
        <f t="shared" si="59"/>
        <v>1459340</v>
      </c>
      <c r="P264" s="2">
        <f t="shared" si="60"/>
        <v>1094487.822662232</v>
      </c>
      <c r="Q264" s="3">
        <f t="shared" si="61"/>
        <v>36232876.712328769</v>
      </c>
      <c r="R264" s="3">
        <f t="shared" si="62"/>
        <v>56691507485.205482</v>
      </c>
      <c r="S264" s="3">
        <f t="shared" si="63"/>
        <v>36232876.712328769</v>
      </c>
      <c r="T264" s="3">
        <f t="shared" si="64"/>
        <v>31314378.356164385</v>
      </c>
      <c r="U264" s="3">
        <f t="shared" si="65"/>
        <v>6150993580.547945</v>
      </c>
      <c r="V264" s="3">
        <f t="shared" si="66"/>
        <v>5834721193.4246578</v>
      </c>
      <c r="W264" s="3">
        <f t="shared" si="67"/>
        <v>3281927654.6737351</v>
      </c>
      <c r="X264" s="3">
        <f t="shared" si="68"/>
        <v>1197903593955.9133</v>
      </c>
      <c r="Y264" s="3">
        <f t="shared" si="69"/>
        <v>26905622708080.313</v>
      </c>
      <c r="AK264">
        <v>1.59263</v>
      </c>
      <c r="AL264">
        <v>1000000</v>
      </c>
      <c r="AM264">
        <f t="shared" si="70"/>
        <v>1592630</v>
      </c>
      <c r="AN264">
        <v>1.6316600000000001</v>
      </c>
      <c r="AO264">
        <v>1000000</v>
      </c>
      <c r="AP264">
        <f t="shared" si="71"/>
        <v>1631660</v>
      </c>
    </row>
    <row r="265" spans="1:42" x14ac:dyDescent="0.4">
      <c r="A265">
        <v>254</v>
      </c>
      <c r="B265" s="2">
        <v>2845280</v>
      </c>
      <c r="C265" s="2">
        <v>2323390</v>
      </c>
      <c r="D265" s="2">
        <f>IF(B265&lt;2500000,2500000,B265)</f>
        <v>2845280</v>
      </c>
      <c r="E265" s="2">
        <v>2816320</v>
      </c>
      <c r="F265" s="2">
        <v>1344420</v>
      </c>
      <c r="G265" s="2">
        <v>1525210</v>
      </c>
      <c r="H265" s="2">
        <v>3782871.7405010508</v>
      </c>
      <c r="I265" s="2">
        <f>32.43*(100000)</f>
        <v>3243000</v>
      </c>
      <c r="J265" s="2">
        <f t="shared" si="54"/>
        <v>397720</v>
      </c>
      <c r="K265" s="2">
        <f t="shared" si="55"/>
        <v>919610</v>
      </c>
      <c r="L265" s="2">
        <f t="shared" si="56"/>
        <v>397720</v>
      </c>
      <c r="M265" s="2">
        <f t="shared" si="57"/>
        <v>426680</v>
      </c>
      <c r="N265" s="2">
        <f t="shared" si="58"/>
        <v>1898580</v>
      </c>
      <c r="O265" s="2">
        <f t="shared" si="59"/>
        <v>1717790</v>
      </c>
      <c r="P265" s="2">
        <f t="shared" si="60"/>
        <v>539871.74050105084</v>
      </c>
      <c r="Q265" s="3">
        <f t="shared" si="61"/>
        <v>433373146.30136985</v>
      </c>
      <c r="R265" s="3">
        <f t="shared" si="62"/>
        <v>2316938498.9041095</v>
      </c>
      <c r="S265" s="3">
        <f t="shared" si="63"/>
        <v>433373146.30136985</v>
      </c>
      <c r="T265" s="3">
        <f t="shared" si="64"/>
        <v>498783075.06849313</v>
      </c>
      <c r="U265" s="3">
        <f t="shared" si="65"/>
        <v>9875632921.6438351</v>
      </c>
      <c r="V265" s="3">
        <f t="shared" si="66"/>
        <v>8084390367.3972607</v>
      </c>
      <c r="W265" s="3">
        <f t="shared" si="67"/>
        <v>798524647.10036707</v>
      </c>
      <c r="X265" s="3">
        <f t="shared" si="68"/>
        <v>291461496191.63397</v>
      </c>
      <c r="Y265" s="3">
        <f t="shared" si="69"/>
        <v>25351859551915.93</v>
      </c>
      <c r="AK265">
        <v>1.3444199999999999</v>
      </c>
      <c r="AL265">
        <v>1000000</v>
      </c>
      <c r="AM265">
        <f t="shared" si="70"/>
        <v>1344420</v>
      </c>
      <c r="AN265">
        <v>1.52521</v>
      </c>
      <c r="AO265">
        <v>1000000</v>
      </c>
      <c r="AP265">
        <f t="shared" si="71"/>
        <v>1525210</v>
      </c>
    </row>
    <row r="266" spans="1:42" x14ac:dyDescent="0.4">
      <c r="A266">
        <v>255</v>
      </c>
      <c r="B266" s="2">
        <v>2093130</v>
      </c>
      <c r="C266" s="2">
        <v>1000990</v>
      </c>
      <c r="D266" s="2">
        <f>IF(B266&lt;2500000,2500000,B266)</f>
        <v>2500000</v>
      </c>
      <c r="E266" s="2">
        <v>2022510</v>
      </c>
      <c r="F266" s="2">
        <v>1173650</v>
      </c>
      <c r="G266" s="2">
        <v>1360200</v>
      </c>
      <c r="H266" s="2">
        <v>3688081.7241173969</v>
      </c>
      <c r="I266" s="2">
        <f>28.35*(100000)</f>
        <v>2835000</v>
      </c>
      <c r="J266" s="2">
        <f t="shared" si="54"/>
        <v>741870</v>
      </c>
      <c r="K266" s="2">
        <f t="shared" si="55"/>
        <v>1834010</v>
      </c>
      <c r="L266" s="2">
        <f t="shared" si="56"/>
        <v>335000</v>
      </c>
      <c r="M266" s="2">
        <f t="shared" si="57"/>
        <v>812490</v>
      </c>
      <c r="N266" s="2">
        <f t="shared" si="58"/>
        <v>1661350</v>
      </c>
      <c r="O266" s="2">
        <f t="shared" si="59"/>
        <v>1474800</v>
      </c>
      <c r="P266" s="2">
        <f t="shared" si="60"/>
        <v>853081.72411739687</v>
      </c>
      <c r="Q266" s="3">
        <f t="shared" si="61"/>
        <v>1507866018.9041095</v>
      </c>
      <c r="R266" s="3">
        <f t="shared" si="62"/>
        <v>9215322411.2328758</v>
      </c>
      <c r="S266" s="3">
        <f t="shared" si="63"/>
        <v>307465753.42465752</v>
      </c>
      <c r="T266" s="3">
        <f t="shared" si="64"/>
        <v>1808602740</v>
      </c>
      <c r="U266" s="3">
        <f t="shared" si="65"/>
        <v>7561873486.3013697</v>
      </c>
      <c r="V266" s="3">
        <f t="shared" si="66"/>
        <v>5959000109.5890408</v>
      </c>
      <c r="W266" s="3">
        <f t="shared" si="67"/>
        <v>1993831309.6523576</v>
      </c>
      <c r="X266" s="3">
        <f t="shared" si="68"/>
        <v>727748428023.11047</v>
      </c>
      <c r="Y266" s="3">
        <f t="shared" si="69"/>
        <v>29626934971094.012</v>
      </c>
      <c r="AK266">
        <v>1.1736500000000001</v>
      </c>
      <c r="AL266">
        <v>1000000</v>
      </c>
      <c r="AM266">
        <f t="shared" si="70"/>
        <v>1173650</v>
      </c>
      <c r="AN266">
        <v>1.3602000000000001</v>
      </c>
      <c r="AO266">
        <v>1000000</v>
      </c>
      <c r="AP266">
        <f t="shared" si="71"/>
        <v>1360200</v>
      </c>
    </row>
    <row r="267" spans="1:42" x14ac:dyDescent="0.4">
      <c r="A267">
        <v>256</v>
      </c>
      <c r="B267" s="2">
        <v>1704470</v>
      </c>
      <c r="C267" s="2">
        <v>1195660</v>
      </c>
      <c r="D267" s="2">
        <f>IF(B267&lt;2500000,2500000,B267)</f>
        <v>2500000</v>
      </c>
      <c r="E267" s="2">
        <v>1621390</v>
      </c>
      <c r="F267" s="2">
        <v>1087620</v>
      </c>
      <c r="G267" s="2">
        <v>1257630</v>
      </c>
      <c r="H267" s="2">
        <v>3630597.0484503089</v>
      </c>
      <c r="I267" s="2">
        <f>30.72*(100000)</f>
        <v>3072000</v>
      </c>
      <c r="J267" s="2">
        <f t="shared" si="54"/>
        <v>1367530</v>
      </c>
      <c r="K267" s="2">
        <f t="shared" si="55"/>
        <v>1876340</v>
      </c>
      <c r="L267" s="2">
        <f t="shared" si="56"/>
        <v>572000</v>
      </c>
      <c r="M267" s="2">
        <f t="shared" si="57"/>
        <v>1450610</v>
      </c>
      <c r="N267" s="2">
        <f t="shared" si="58"/>
        <v>1984380</v>
      </c>
      <c r="O267" s="2">
        <f t="shared" si="59"/>
        <v>1814370</v>
      </c>
      <c r="P267" s="2">
        <f t="shared" si="60"/>
        <v>558597.04845030885</v>
      </c>
      <c r="Q267" s="3">
        <f t="shared" si="61"/>
        <v>5123666577.808219</v>
      </c>
      <c r="R267" s="3">
        <f t="shared" si="62"/>
        <v>9645621357.8082199</v>
      </c>
      <c r="S267" s="3">
        <f t="shared" si="63"/>
        <v>896394520.54794526</v>
      </c>
      <c r="T267" s="3">
        <f t="shared" si="64"/>
        <v>5765121567.3972607</v>
      </c>
      <c r="U267" s="3">
        <f t="shared" si="65"/>
        <v>10788394477.80822</v>
      </c>
      <c r="V267" s="3">
        <f t="shared" si="66"/>
        <v>9019009580.547945</v>
      </c>
      <c r="W267" s="3">
        <f t="shared" si="67"/>
        <v>854878527.49971688</v>
      </c>
      <c r="X267" s="3">
        <f t="shared" si="68"/>
        <v>312030662537.39667</v>
      </c>
      <c r="Y267" s="3">
        <f t="shared" si="69"/>
        <v>27103092102600.863</v>
      </c>
      <c r="AK267">
        <v>1.08762</v>
      </c>
      <c r="AL267">
        <v>1000000</v>
      </c>
      <c r="AM267">
        <f t="shared" si="70"/>
        <v>1087620</v>
      </c>
      <c r="AN267">
        <v>1.25763</v>
      </c>
      <c r="AO267">
        <v>1000000</v>
      </c>
      <c r="AP267">
        <f t="shared" si="71"/>
        <v>1257630</v>
      </c>
    </row>
    <row r="268" spans="1:42" x14ac:dyDescent="0.4">
      <c r="A268">
        <v>257</v>
      </c>
      <c r="B268" s="2">
        <v>6792340</v>
      </c>
      <c r="C268" s="2">
        <v>26490900</v>
      </c>
      <c r="D268" s="2">
        <f>IF(B268&lt;2500000,2500000,B268)</f>
        <v>6792340</v>
      </c>
      <c r="E268" s="2">
        <v>7139080</v>
      </c>
      <c r="F268" s="2">
        <v>2858290</v>
      </c>
      <c r="G268" s="2">
        <v>2420270</v>
      </c>
      <c r="H268" s="2">
        <v>5676365.2899285574</v>
      </c>
      <c r="I268" s="2">
        <f>29.03*(100000)</f>
        <v>2903000</v>
      </c>
      <c r="J268" s="2">
        <f t="shared" ref="J268:J331" si="72">ABS(I268-B268)</f>
        <v>3889340</v>
      </c>
      <c r="K268" s="2">
        <f t="shared" ref="K268:K331" si="73">ABS(I268-C268)</f>
        <v>23587900</v>
      </c>
      <c r="L268" s="2">
        <f t="shared" ref="L268:L331" si="74">ABS(I268-D268)</f>
        <v>3889340</v>
      </c>
      <c r="M268" s="2">
        <f t="shared" ref="M268:M331" si="75">ABS($I268-E268)</f>
        <v>4236080</v>
      </c>
      <c r="N268" s="2">
        <f t="shared" ref="N268:N331" si="76">ABS($I268-F268)</f>
        <v>44710</v>
      </c>
      <c r="O268" s="2">
        <f t="shared" ref="O268:O331" si="77">ABS($I268-G268)</f>
        <v>482730</v>
      </c>
      <c r="P268" s="2">
        <f t="shared" ref="P268:P331" si="78">ABS(I268-H268)</f>
        <v>2773365.2899285574</v>
      </c>
      <c r="Q268" s="3">
        <f t="shared" ref="Q268:Q331" si="79">J268^2/COUNT($A$11:$A$375)</f>
        <v>41443741467.397263</v>
      </c>
      <c r="R268" s="3">
        <f t="shared" ref="R268:R331" si="80">K268^2/COUNT($A$11:$A$375)</f>
        <v>1524353497013.6987</v>
      </c>
      <c r="S268" s="3">
        <f t="shared" ref="S268:S331" si="81">L268^2/COUNT($A$11:$A$375)</f>
        <v>41443741467.397263</v>
      </c>
      <c r="T268" s="3">
        <f t="shared" ref="T268:T331" si="82">M268^2/COUNT($A$11:$A$375)</f>
        <v>49162667853.150688</v>
      </c>
      <c r="U268" s="3">
        <f t="shared" ref="U268:U331" si="83">N268^2/COUNT($A$11:$A$375)</f>
        <v>5476668.7671232875</v>
      </c>
      <c r="V268" s="3">
        <f t="shared" ref="V268:V331" si="84">O268^2/COUNT($A$11:$A$375)</f>
        <v>638433569.58904111</v>
      </c>
      <c r="W268" s="3">
        <f t="shared" ref="W268:W331" si="85">P268^2/COUNT($A$11:$A$375)</f>
        <v>21072753510.631535</v>
      </c>
      <c r="X268" s="3">
        <f t="shared" ref="X268:X331" si="86">P268^2</f>
        <v>7691555031380.5107</v>
      </c>
      <c r="Y268" s="3">
        <f t="shared" ref="Y268:Y331" si="87">(I268-AVERAGE($I$11:$I$375))^2</f>
        <v>28891302401231</v>
      </c>
      <c r="AK268">
        <v>2.8582900000000002</v>
      </c>
      <c r="AL268">
        <v>1000000</v>
      </c>
      <c r="AM268">
        <f t="shared" ref="AM268:AM331" si="88">IF(AL268="",AK268,AK268*AL268)</f>
        <v>2858290</v>
      </c>
      <c r="AN268">
        <v>2.4202699999999999</v>
      </c>
      <c r="AO268">
        <v>1000000</v>
      </c>
      <c r="AP268">
        <f t="shared" ref="AP268:AP331" si="89">IF(AO268="",AN268,AN268*AO268)</f>
        <v>2420270</v>
      </c>
    </row>
    <row r="269" spans="1:42" x14ac:dyDescent="0.4">
      <c r="A269">
        <v>258</v>
      </c>
      <c r="B269" s="2">
        <v>7395350</v>
      </c>
      <c r="C269" s="2">
        <v>11152900</v>
      </c>
      <c r="D269" s="2">
        <f>IF(B269&lt;2500000,2500000,B269)</f>
        <v>7395350</v>
      </c>
      <c r="E269" s="2">
        <v>7659380</v>
      </c>
      <c r="F269" s="2">
        <v>2500460</v>
      </c>
      <c r="G269" s="2">
        <v>2530600</v>
      </c>
      <c r="H269" s="2">
        <v>4312946.1909396918</v>
      </c>
      <c r="I269" s="2">
        <f>27.01*(100000)</f>
        <v>2701000</v>
      </c>
      <c r="J269" s="2">
        <f t="shared" si="72"/>
        <v>4694350</v>
      </c>
      <c r="K269" s="2">
        <f t="shared" si="73"/>
        <v>8451900</v>
      </c>
      <c r="L269" s="2">
        <f t="shared" si="74"/>
        <v>4694350</v>
      </c>
      <c r="M269" s="2">
        <f t="shared" si="75"/>
        <v>4958380</v>
      </c>
      <c r="N269" s="2">
        <f t="shared" si="76"/>
        <v>200540</v>
      </c>
      <c r="O269" s="2">
        <f t="shared" si="77"/>
        <v>170400</v>
      </c>
      <c r="P269" s="2">
        <f t="shared" si="78"/>
        <v>1611946.1909396918</v>
      </c>
      <c r="Q269" s="3">
        <f t="shared" si="79"/>
        <v>60375128554.794518</v>
      </c>
      <c r="R269" s="3">
        <f t="shared" si="80"/>
        <v>195711270164.38358</v>
      </c>
      <c r="S269" s="3">
        <f t="shared" si="81"/>
        <v>60375128554.794518</v>
      </c>
      <c r="T269" s="3">
        <f t="shared" si="82"/>
        <v>67357622532.602737</v>
      </c>
      <c r="U269" s="3">
        <f t="shared" si="83"/>
        <v>110181620.8219178</v>
      </c>
      <c r="V269" s="3">
        <f t="shared" si="84"/>
        <v>79551123.287671238</v>
      </c>
      <c r="W269" s="3">
        <f t="shared" si="85"/>
        <v>7118823349.273922</v>
      </c>
      <c r="X269" s="3">
        <f t="shared" si="86"/>
        <v>2598370522484.9814</v>
      </c>
      <c r="Y269" s="3">
        <f t="shared" si="87"/>
        <v>31103631858765.246</v>
      </c>
      <c r="AK269">
        <v>2.5004599999999999</v>
      </c>
      <c r="AL269">
        <v>1000000</v>
      </c>
      <c r="AM269">
        <f t="shared" si="88"/>
        <v>2500460</v>
      </c>
      <c r="AN269">
        <v>2.5306000000000002</v>
      </c>
      <c r="AO269">
        <v>1000000</v>
      </c>
      <c r="AP269">
        <f t="shared" si="89"/>
        <v>2530600</v>
      </c>
    </row>
    <row r="270" spans="1:42" x14ac:dyDescent="0.4">
      <c r="A270">
        <v>259</v>
      </c>
      <c r="B270" s="2">
        <v>6383260</v>
      </c>
      <c r="C270" s="2">
        <v>4268430</v>
      </c>
      <c r="D270" s="2">
        <f>IF(B270&lt;2500000,2500000,B270)</f>
        <v>6383260</v>
      </c>
      <c r="E270" s="2">
        <v>6499030</v>
      </c>
      <c r="F270" s="2">
        <v>2122610</v>
      </c>
      <c r="G270" s="2">
        <v>2213780</v>
      </c>
      <c r="H270" s="2">
        <v>4225367.8525745394</v>
      </c>
      <c r="I270" s="2">
        <f>25.35*(100000)</f>
        <v>2535000</v>
      </c>
      <c r="J270" s="2">
        <f t="shared" si="72"/>
        <v>3848260</v>
      </c>
      <c r="K270" s="2">
        <f t="shared" si="73"/>
        <v>1733430</v>
      </c>
      <c r="L270" s="2">
        <f t="shared" si="74"/>
        <v>3848260</v>
      </c>
      <c r="M270" s="2">
        <f t="shared" si="75"/>
        <v>3964030</v>
      </c>
      <c r="N270" s="2">
        <f t="shared" si="76"/>
        <v>412390</v>
      </c>
      <c r="O270" s="2">
        <f t="shared" si="77"/>
        <v>321220</v>
      </c>
      <c r="P270" s="2">
        <f t="shared" si="78"/>
        <v>1690367.8525745394</v>
      </c>
      <c r="Q270" s="3">
        <f t="shared" si="79"/>
        <v>40572890486.57534</v>
      </c>
      <c r="R270" s="3">
        <f t="shared" si="80"/>
        <v>8232272780.547945</v>
      </c>
      <c r="S270" s="3">
        <f t="shared" si="81"/>
        <v>40572890486.57534</v>
      </c>
      <c r="T270" s="3">
        <f t="shared" si="82"/>
        <v>43050777646.301369</v>
      </c>
      <c r="U270" s="3">
        <f t="shared" si="83"/>
        <v>465932909.86301368</v>
      </c>
      <c r="V270" s="3">
        <f t="shared" si="84"/>
        <v>282691201.0958904</v>
      </c>
      <c r="W270" s="3">
        <f t="shared" si="85"/>
        <v>7828338293.1985188</v>
      </c>
      <c r="X270" s="3">
        <f t="shared" si="86"/>
        <v>2857343477017.4595</v>
      </c>
      <c r="Y270" s="3">
        <f t="shared" si="87"/>
        <v>32982772779313.191</v>
      </c>
      <c r="AK270">
        <v>2.1226099999999999</v>
      </c>
      <c r="AL270">
        <v>1000000</v>
      </c>
      <c r="AM270">
        <f t="shared" si="88"/>
        <v>2122610</v>
      </c>
      <c r="AN270">
        <v>2.2137799999999999</v>
      </c>
      <c r="AO270">
        <v>1000000</v>
      </c>
      <c r="AP270">
        <f t="shared" si="89"/>
        <v>2213780</v>
      </c>
    </row>
    <row r="271" spans="1:42" x14ac:dyDescent="0.4">
      <c r="A271">
        <v>260</v>
      </c>
      <c r="B271" s="2">
        <v>7013700</v>
      </c>
      <c r="C271" s="2">
        <v>12309700</v>
      </c>
      <c r="D271" s="2">
        <f>IF(B271&lt;2500000,2500000,B271)</f>
        <v>7013700</v>
      </c>
      <c r="E271" s="2">
        <v>7201670</v>
      </c>
      <c r="F271" s="2">
        <v>2600600</v>
      </c>
      <c r="G271" s="2">
        <v>2467350</v>
      </c>
      <c r="H271" s="2">
        <v>4782193.530325125</v>
      </c>
      <c r="I271" s="2">
        <f>24.96*(100000)</f>
        <v>2496000</v>
      </c>
      <c r="J271" s="2">
        <f t="shared" si="72"/>
        <v>4517700</v>
      </c>
      <c r="K271" s="2">
        <f t="shared" si="73"/>
        <v>9813700</v>
      </c>
      <c r="L271" s="2">
        <f t="shared" si="74"/>
        <v>4517700</v>
      </c>
      <c r="M271" s="2">
        <f t="shared" si="75"/>
        <v>4705670</v>
      </c>
      <c r="N271" s="2">
        <f t="shared" si="76"/>
        <v>104600</v>
      </c>
      <c r="O271" s="2">
        <f t="shared" si="77"/>
        <v>28650</v>
      </c>
      <c r="P271" s="2">
        <f t="shared" si="78"/>
        <v>2286193.530325125</v>
      </c>
      <c r="Q271" s="3">
        <f t="shared" si="79"/>
        <v>55916748739.726028</v>
      </c>
      <c r="R271" s="3">
        <f t="shared" si="80"/>
        <v>263859473123.28766</v>
      </c>
      <c r="S271" s="3">
        <f t="shared" si="81"/>
        <v>55916748739.726028</v>
      </c>
      <c r="T271" s="3">
        <f t="shared" si="82"/>
        <v>60666657942.19178</v>
      </c>
      <c r="U271" s="3">
        <f t="shared" si="83"/>
        <v>29975780.82191781</v>
      </c>
      <c r="V271" s="3">
        <f t="shared" si="84"/>
        <v>2248828.7671232875</v>
      </c>
      <c r="W271" s="3">
        <f t="shared" si="85"/>
        <v>14319673583.836872</v>
      </c>
      <c r="X271" s="3">
        <f t="shared" si="86"/>
        <v>5226680858100.458</v>
      </c>
      <c r="Y271" s="3">
        <f t="shared" si="87"/>
        <v>33432252694381.684</v>
      </c>
      <c r="AK271">
        <v>2.6006</v>
      </c>
      <c r="AL271">
        <v>1000000</v>
      </c>
      <c r="AM271">
        <f t="shared" si="88"/>
        <v>2600600</v>
      </c>
      <c r="AN271">
        <v>2.4673500000000002</v>
      </c>
      <c r="AO271">
        <v>1000000</v>
      </c>
      <c r="AP271">
        <f t="shared" si="89"/>
        <v>2467350</v>
      </c>
    </row>
    <row r="272" spans="1:42" x14ac:dyDescent="0.4">
      <c r="A272">
        <v>261</v>
      </c>
      <c r="B272" s="2">
        <v>6275520</v>
      </c>
      <c r="C272" s="2">
        <v>6246310</v>
      </c>
      <c r="D272" s="2">
        <f>IF(B272&lt;2500000,2500000,B272)</f>
        <v>6275520</v>
      </c>
      <c r="E272" s="2">
        <v>6390500</v>
      </c>
      <c r="F272" s="2">
        <v>2366990</v>
      </c>
      <c r="G272" s="2">
        <v>2401910</v>
      </c>
      <c r="H272" s="2">
        <v>4351998.4307824597</v>
      </c>
      <c r="I272" s="2">
        <f>25.33*(100000)</f>
        <v>2533000</v>
      </c>
      <c r="J272" s="2">
        <f t="shared" si="72"/>
        <v>3742520</v>
      </c>
      <c r="K272" s="2">
        <f t="shared" si="73"/>
        <v>3713310</v>
      </c>
      <c r="L272" s="2">
        <f t="shared" si="74"/>
        <v>3742520</v>
      </c>
      <c r="M272" s="2">
        <f t="shared" si="75"/>
        <v>3857500</v>
      </c>
      <c r="N272" s="2">
        <f t="shared" si="76"/>
        <v>166010</v>
      </c>
      <c r="O272" s="2">
        <f t="shared" si="77"/>
        <v>131090</v>
      </c>
      <c r="P272" s="2">
        <f t="shared" si="78"/>
        <v>1818998.4307824597</v>
      </c>
      <c r="Q272" s="3">
        <f t="shared" si="79"/>
        <v>38373851918.904106</v>
      </c>
      <c r="R272" s="3">
        <f t="shared" si="80"/>
        <v>37777181249.589043</v>
      </c>
      <c r="S272" s="3">
        <f t="shared" si="81"/>
        <v>38373851918.904106</v>
      </c>
      <c r="T272" s="3">
        <f t="shared" si="82"/>
        <v>40767962328.76712</v>
      </c>
      <c r="U272" s="3">
        <f t="shared" si="83"/>
        <v>75504986.575342461</v>
      </c>
      <c r="V272" s="3">
        <f t="shared" si="84"/>
        <v>47081063.287671231</v>
      </c>
      <c r="W272" s="3">
        <f t="shared" si="85"/>
        <v>9065082989.5590439</v>
      </c>
      <c r="X272" s="3">
        <f t="shared" si="86"/>
        <v>3308755291189.0508</v>
      </c>
      <c r="Y272" s="3">
        <f t="shared" si="87"/>
        <v>33005749031367.984</v>
      </c>
      <c r="AK272">
        <v>2.3669899999999999</v>
      </c>
      <c r="AL272">
        <v>1000000</v>
      </c>
      <c r="AM272">
        <f t="shared" si="88"/>
        <v>2366990</v>
      </c>
      <c r="AN272">
        <v>2.40191</v>
      </c>
      <c r="AO272">
        <v>1000000</v>
      </c>
      <c r="AP272">
        <f t="shared" si="89"/>
        <v>2401910</v>
      </c>
    </row>
    <row r="273" spans="1:42" x14ac:dyDescent="0.4">
      <c r="A273">
        <v>262</v>
      </c>
      <c r="B273" s="2">
        <v>5249610</v>
      </c>
      <c r="C273" s="2">
        <v>3933970</v>
      </c>
      <c r="D273" s="2">
        <f>IF(B273&lt;2500000,2500000,B273)</f>
        <v>5249610</v>
      </c>
      <c r="E273" s="2">
        <v>5279260</v>
      </c>
      <c r="F273" s="2">
        <v>2155550</v>
      </c>
      <c r="G273" s="2">
        <v>2226750</v>
      </c>
      <c r="H273" s="2">
        <v>4238841.7743130606</v>
      </c>
      <c r="I273" s="2">
        <f>25.47*(100000)</f>
        <v>2547000</v>
      </c>
      <c r="J273" s="2">
        <f t="shared" si="72"/>
        <v>2702610</v>
      </c>
      <c r="K273" s="2">
        <f t="shared" si="73"/>
        <v>1386970</v>
      </c>
      <c r="L273" s="2">
        <f t="shared" si="74"/>
        <v>2702610</v>
      </c>
      <c r="M273" s="2">
        <f t="shared" si="75"/>
        <v>2732260</v>
      </c>
      <c r="N273" s="2">
        <f t="shared" si="76"/>
        <v>391450</v>
      </c>
      <c r="O273" s="2">
        <f t="shared" si="77"/>
        <v>320250</v>
      </c>
      <c r="P273" s="2">
        <f t="shared" si="78"/>
        <v>1691841.7743130606</v>
      </c>
      <c r="Q273" s="3">
        <f t="shared" si="79"/>
        <v>20011235101.643837</v>
      </c>
      <c r="R273" s="3">
        <f t="shared" si="80"/>
        <v>5270372002.4657536</v>
      </c>
      <c r="S273" s="3">
        <f t="shared" si="81"/>
        <v>20011235101.643837</v>
      </c>
      <c r="T273" s="3">
        <f t="shared" si="82"/>
        <v>20452725226.301369</v>
      </c>
      <c r="U273" s="3">
        <f t="shared" si="83"/>
        <v>419816719.17808217</v>
      </c>
      <c r="V273" s="3">
        <f t="shared" si="84"/>
        <v>280986472.60273975</v>
      </c>
      <c r="W273" s="3">
        <f t="shared" si="85"/>
        <v>7841996135.0979862</v>
      </c>
      <c r="X273" s="3">
        <f t="shared" si="86"/>
        <v>2862328589310.7651</v>
      </c>
      <c r="Y273" s="3">
        <f t="shared" si="87"/>
        <v>32845083266984.422</v>
      </c>
      <c r="AK273">
        <v>2.1555499999999999</v>
      </c>
      <c r="AL273">
        <v>1000000</v>
      </c>
      <c r="AM273">
        <f t="shared" si="88"/>
        <v>2155550</v>
      </c>
      <c r="AN273">
        <v>2.22675</v>
      </c>
      <c r="AO273">
        <v>1000000</v>
      </c>
      <c r="AP273">
        <f t="shared" si="89"/>
        <v>2226750</v>
      </c>
    </row>
    <row r="274" spans="1:42" x14ac:dyDescent="0.4">
      <c r="A274">
        <v>263</v>
      </c>
      <c r="B274" s="2">
        <v>3913500</v>
      </c>
      <c r="C274" s="2">
        <v>1559840</v>
      </c>
      <c r="D274" s="2">
        <f>IF(B274&lt;2500000,2500000,B274)</f>
        <v>3913500</v>
      </c>
      <c r="E274" s="2">
        <v>3857820</v>
      </c>
      <c r="F274" s="2">
        <v>1880270</v>
      </c>
      <c r="G274" s="2">
        <v>2003590</v>
      </c>
      <c r="H274" s="2">
        <v>3997201.7031802461</v>
      </c>
      <c r="I274" s="2">
        <f>27.38*(100000)</f>
        <v>2738000</v>
      </c>
      <c r="J274" s="2">
        <f t="shared" si="72"/>
        <v>1175500</v>
      </c>
      <c r="K274" s="2">
        <f t="shared" si="73"/>
        <v>1178160</v>
      </c>
      <c r="L274" s="2">
        <f t="shared" si="74"/>
        <v>1175500</v>
      </c>
      <c r="M274" s="2">
        <f t="shared" si="75"/>
        <v>1119820</v>
      </c>
      <c r="N274" s="2">
        <f t="shared" si="76"/>
        <v>857730</v>
      </c>
      <c r="O274" s="2">
        <f t="shared" si="77"/>
        <v>734410</v>
      </c>
      <c r="P274" s="2">
        <f t="shared" si="78"/>
        <v>1259201.7031802461</v>
      </c>
      <c r="Q274" s="3">
        <f t="shared" si="79"/>
        <v>3785754109.5890412</v>
      </c>
      <c r="R274" s="3">
        <f t="shared" si="80"/>
        <v>3802906809.8630137</v>
      </c>
      <c r="S274" s="3">
        <f t="shared" si="81"/>
        <v>3785754109.5890412</v>
      </c>
      <c r="T274" s="3">
        <f t="shared" si="82"/>
        <v>3435607760</v>
      </c>
      <c r="U274" s="3">
        <f t="shared" si="83"/>
        <v>2015618501.0958905</v>
      </c>
      <c r="V274" s="3">
        <f t="shared" si="84"/>
        <v>1477693282.4657533</v>
      </c>
      <c r="W274" s="3">
        <f t="shared" si="85"/>
        <v>4344079258.3343353</v>
      </c>
      <c r="X274" s="3">
        <f t="shared" si="86"/>
        <v>1585588929292.0325</v>
      </c>
      <c r="Y274" s="3">
        <f t="shared" si="87"/>
        <v>30692298195751.547</v>
      </c>
      <c r="AK274">
        <v>1.8802700000000001</v>
      </c>
      <c r="AL274">
        <v>1000000</v>
      </c>
      <c r="AM274">
        <f t="shared" si="88"/>
        <v>1880270</v>
      </c>
      <c r="AN274">
        <v>2.00359</v>
      </c>
      <c r="AO274">
        <v>1000000</v>
      </c>
      <c r="AP274">
        <f t="shared" si="89"/>
        <v>2003590</v>
      </c>
    </row>
    <row r="275" spans="1:42" x14ac:dyDescent="0.4">
      <c r="A275">
        <v>264</v>
      </c>
      <c r="B275" s="2">
        <v>4397270</v>
      </c>
      <c r="C275" s="2">
        <v>8151660</v>
      </c>
      <c r="D275" s="2">
        <f>IF(B275&lt;2500000,2500000,B275)</f>
        <v>4397270</v>
      </c>
      <c r="E275" s="2">
        <v>4409550</v>
      </c>
      <c r="F275" s="2">
        <v>2197840</v>
      </c>
      <c r="G275" s="2">
        <v>2164170</v>
      </c>
      <c r="H275" s="2">
        <v>4323150.9139979007</v>
      </c>
      <c r="I275" s="2">
        <f>27.43*(100000)</f>
        <v>2743000</v>
      </c>
      <c r="J275" s="2">
        <f t="shared" si="72"/>
        <v>1654270</v>
      </c>
      <c r="K275" s="2">
        <f t="shared" si="73"/>
        <v>5408660</v>
      </c>
      <c r="L275" s="2">
        <f t="shared" si="74"/>
        <v>1654270</v>
      </c>
      <c r="M275" s="2">
        <f t="shared" si="75"/>
        <v>1666550</v>
      </c>
      <c r="N275" s="2">
        <f t="shared" si="76"/>
        <v>545160</v>
      </c>
      <c r="O275" s="2">
        <f t="shared" si="77"/>
        <v>578830</v>
      </c>
      <c r="P275" s="2">
        <f t="shared" si="78"/>
        <v>1580150.9139979007</v>
      </c>
      <c r="Q275" s="3">
        <f t="shared" si="79"/>
        <v>7497559542.191781</v>
      </c>
      <c r="R275" s="3">
        <f t="shared" si="80"/>
        <v>80146857522.191788</v>
      </c>
      <c r="S275" s="3">
        <f t="shared" si="81"/>
        <v>7497559542.191781</v>
      </c>
      <c r="T275" s="3">
        <f t="shared" si="82"/>
        <v>7609284664.3835621</v>
      </c>
      <c r="U275" s="3">
        <f t="shared" si="83"/>
        <v>814245001.64383566</v>
      </c>
      <c r="V275" s="3">
        <f t="shared" si="84"/>
        <v>917929229.86301374</v>
      </c>
      <c r="W275" s="3">
        <f t="shared" si="85"/>
        <v>6840758660.2969885</v>
      </c>
      <c r="X275" s="3">
        <f t="shared" si="86"/>
        <v>2496876911008.4009</v>
      </c>
      <c r="Y275" s="3">
        <f t="shared" si="87"/>
        <v>30636922565614.563</v>
      </c>
      <c r="AK275">
        <v>2.1978399999999998</v>
      </c>
      <c r="AL275">
        <v>1000000</v>
      </c>
      <c r="AM275">
        <f t="shared" si="88"/>
        <v>2197840</v>
      </c>
      <c r="AN275">
        <v>2.1641699999999999</v>
      </c>
      <c r="AO275">
        <v>1000000</v>
      </c>
      <c r="AP275">
        <f t="shared" si="89"/>
        <v>2164170</v>
      </c>
    </row>
    <row r="276" spans="1:42" x14ac:dyDescent="0.4">
      <c r="A276">
        <v>265</v>
      </c>
      <c r="B276" s="2">
        <v>6707660</v>
      </c>
      <c r="C276" s="2">
        <v>15982600</v>
      </c>
      <c r="D276" s="2">
        <f>IF(B276&lt;2500000,2500000,B276)</f>
        <v>6707660</v>
      </c>
      <c r="E276" s="2">
        <v>6885340</v>
      </c>
      <c r="F276" s="2">
        <v>2860710</v>
      </c>
      <c r="G276" s="2">
        <v>2664900</v>
      </c>
      <c r="H276" s="2">
        <v>4774180.8985841274</v>
      </c>
      <c r="I276" s="2">
        <f>27.73*(100000)</f>
        <v>2773000</v>
      </c>
      <c r="J276" s="2">
        <f t="shared" si="72"/>
        <v>3934660</v>
      </c>
      <c r="K276" s="2">
        <f t="shared" si="73"/>
        <v>13209600</v>
      </c>
      <c r="L276" s="2">
        <f t="shared" si="74"/>
        <v>3934660</v>
      </c>
      <c r="M276" s="2">
        <f t="shared" si="75"/>
        <v>4112340</v>
      </c>
      <c r="N276" s="2">
        <f t="shared" si="76"/>
        <v>87710</v>
      </c>
      <c r="O276" s="2">
        <f t="shared" si="77"/>
        <v>108100</v>
      </c>
      <c r="P276" s="2">
        <f t="shared" si="78"/>
        <v>2001180.8985841274</v>
      </c>
      <c r="Q276" s="3">
        <f t="shared" si="79"/>
        <v>42415203604.38356</v>
      </c>
      <c r="R276" s="3">
        <f t="shared" si="80"/>
        <v>478064471671.23285</v>
      </c>
      <c r="S276" s="3">
        <f t="shared" si="81"/>
        <v>42415203604.38356</v>
      </c>
      <c r="T276" s="3">
        <f t="shared" si="82"/>
        <v>46332439111.23288</v>
      </c>
      <c r="U276" s="3">
        <f t="shared" si="83"/>
        <v>21076833.15068493</v>
      </c>
      <c r="V276" s="3">
        <f t="shared" si="84"/>
        <v>32015369.8630137</v>
      </c>
      <c r="W276" s="3">
        <f t="shared" si="85"/>
        <v>10971849284.542398</v>
      </c>
      <c r="X276" s="3">
        <f t="shared" si="86"/>
        <v>4004724988857.9756</v>
      </c>
      <c r="Y276" s="3">
        <f t="shared" si="87"/>
        <v>30305718784792.645</v>
      </c>
      <c r="AK276">
        <v>2.8607100000000001</v>
      </c>
      <c r="AL276">
        <v>1000000</v>
      </c>
      <c r="AM276">
        <f t="shared" si="88"/>
        <v>2860710</v>
      </c>
      <c r="AN276">
        <v>2.6648999999999998</v>
      </c>
      <c r="AO276">
        <v>1000000</v>
      </c>
      <c r="AP276">
        <f t="shared" si="89"/>
        <v>2664900</v>
      </c>
    </row>
    <row r="277" spans="1:42" x14ac:dyDescent="0.4">
      <c r="A277">
        <v>266</v>
      </c>
      <c r="B277" s="2">
        <v>6044260</v>
      </c>
      <c r="C277" s="2">
        <v>5183860</v>
      </c>
      <c r="D277" s="2">
        <f>IF(B277&lt;2500000,2500000,B277)</f>
        <v>6044260</v>
      </c>
      <c r="E277" s="2">
        <v>6112180</v>
      </c>
      <c r="F277" s="2">
        <v>2428400</v>
      </c>
      <c r="G277" s="2">
        <v>2511800</v>
      </c>
      <c r="H277" s="2">
        <v>4153346.4563087542</v>
      </c>
      <c r="I277" s="2">
        <f>26.15*(100000)</f>
        <v>2615000</v>
      </c>
      <c r="J277" s="2">
        <f t="shared" si="72"/>
        <v>3429260</v>
      </c>
      <c r="K277" s="2">
        <f t="shared" si="73"/>
        <v>2568860</v>
      </c>
      <c r="L277" s="2">
        <f t="shared" si="74"/>
        <v>3429260</v>
      </c>
      <c r="M277" s="2">
        <f t="shared" si="75"/>
        <v>3497180</v>
      </c>
      <c r="N277" s="2">
        <f t="shared" si="76"/>
        <v>186600</v>
      </c>
      <c r="O277" s="2">
        <f t="shared" si="77"/>
        <v>103200</v>
      </c>
      <c r="P277" s="2">
        <f t="shared" si="78"/>
        <v>1538346.4563087542</v>
      </c>
      <c r="Q277" s="3">
        <f t="shared" si="79"/>
        <v>32218696294.794521</v>
      </c>
      <c r="R277" s="3">
        <f t="shared" si="80"/>
        <v>18079566300.273972</v>
      </c>
      <c r="S277" s="3">
        <f t="shared" si="81"/>
        <v>32218696294.794521</v>
      </c>
      <c r="T277" s="3">
        <f t="shared" si="82"/>
        <v>33507583431.232876</v>
      </c>
      <c r="U277" s="3">
        <f t="shared" si="83"/>
        <v>95396054.794520542</v>
      </c>
      <c r="V277" s="3">
        <f t="shared" si="84"/>
        <v>29178739.726027396</v>
      </c>
      <c r="W277" s="3">
        <f t="shared" si="85"/>
        <v>6483588546.9526072</v>
      </c>
      <c r="X277" s="3">
        <f t="shared" si="86"/>
        <v>2366509819637.7017</v>
      </c>
      <c r="Y277" s="3">
        <f t="shared" si="87"/>
        <v>32070282697121.41</v>
      </c>
      <c r="AK277">
        <v>2.4283999999999999</v>
      </c>
      <c r="AL277">
        <v>1000000</v>
      </c>
      <c r="AM277">
        <f t="shared" si="88"/>
        <v>2428400</v>
      </c>
      <c r="AN277">
        <v>2.5118</v>
      </c>
      <c r="AO277">
        <v>1000000</v>
      </c>
      <c r="AP277">
        <f t="shared" si="89"/>
        <v>2511800</v>
      </c>
    </row>
    <row r="278" spans="1:42" x14ac:dyDescent="0.4">
      <c r="A278">
        <v>267</v>
      </c>
      <c r="B278" s="2">
        <v>4786680</v>
      </c>
      <c r="C278" s="2">
        <v>2262210</v>
      </c>
      <c r="D278" s="2">
        <f>IF(B278&lt;2500000,2500000,B278)</f>
        <v>4786680</v>
      </c>
      <c r="E278" s="2">
        <v>4745860</v>
      </c>
      <c r="F278" s="2">
        <v>2108280</v>
      </c>
      <c r="G278" s="2">
        <v>2225430</v>
      </c>
      <c r="H278" s="2">
        <v>4080947.674018003</v>
      </c>
      <c r="I278" s="2">
        <f>25.55*(100000)</f>
        <v>2555000</v>
      </c>
      <c r="J278" s="2">
        <f t="shared" si="72"/>
        <v>2231680</v>
      </c>
      <c r="K278" s="2">
        <f t="shared" si="73"/>
        <v>292790</v>
      </c>
      <c r="L278" s="2">
        <f t="shared" si="74"/>
        <v>2231680</v>
      </c>
      <c r="M278" s="2">
        <f t="shared" si="75"/>
        <v>2190860</v>
      </c>
      <c r="N278" s="2">
        <f t="shared" si="76"/>
        <v>446720</v>
      </c>
      <c r="O278" s="2">
        <f t="shared" si="77"/>
        <v>329570</v>
      </c>
      <c r="P278" s="2">
        <f t="shared" si="78"/>
        <v>1525947.674018003</v>
      </c>
      <c r="Q278" s="3">
        <f t="shared" si="79"/>
        <v>13644919513.424658</v>
      </c>
      <c r="R278" s="3">
        <f t="shared" si="80"/>
        <v>234865709.86301368</v>
      </c>
      <c r="S278" s="3">
        <f t="shared" si="81"/>
        <v>13644919513.424658</v>
      </c>
      <c r="T278" s="3">
        <f t="shared" si="82"/>
        <v>13150322026.301371</v>
      </c>
      <c r="U278" s="3">
        <f t="shared" si="83"/>
        <v>546736324.38356161</v>
      </c>
      <c r="V278" s="3">
        <f t="shared" si="84"/>
        <v>297579136.71232879</v>
      </c>
      <c r="W278" s="3">
        <f t="shared" si="85"/>
        <v>6379496722.8519278</v>
      </c>
      <c r="X278" s="3">
        <f t="shared" si="86"/>
        <v>2328516303840.9536</v>
      </c>
      <c r="Y278" s="3">
        <f t="shared" si="87"/>
        <v>32753450258765.246</v>
      </c>
      <c r="AK278">
        <v>2.1082800000000002</v>
      </c>
      <c r="AL278">
        <v>1000000</v>
      </c>
      <c r="AM278">
        <f t="shared" si="88"/>
        <v>2108280</v>
      </c>
      <c r="AN278">
        <v>2.2254299999999998</v>
      </c>
      <c r="AO278">
        <v>1000000</v>
      </c>
      <c r="AP278">
        <f t="shared" si="89"/>
        <v>2225430</v>
      </c>
    </row>
    <row r="279" spans="1:42" x14ac:dyDescent="0.4">
      <c r="A279">
        <v>268</v>
      </c>
      <c r="B279" s="2">
        <v>3443250</v>
      </c>
      <c r="C279" s="2">
        <v>1023740.0000000001</v>
      </c>
      <c r="D279" s="2">
        <f>IF(B279&lt;2500000,2500000,B279)</f>
        <v>3443250</v>
      </c>
      <c r="E279" s="2">
        <v>3330740</v>
      </c>
      <c r="F279" s="2">
        <v>1847520</v>
      </c>
      <c r="G279" s="2">
        <v>1988510</v>
      </c>
      <c r="H279" s="2">
        <v>3905661.2333658701</v>
      </c>
      <c r="I279" s="2">
        <f>26.62*(100000)</f>
        <v>2662000</v>
      </c>
      <c r="J279" s="2">
        <f t="shared" si="72"/>
        <v>781250</v>
      </c>
      <c r="K279" s="2">
        <f t="shared" si="73"/>
        <v>1638260</v>
      </c>
      <c r="L279" s="2">
        <f t="shared" si="74"/>
        <v>781250</v>
      </c>
      <c r="M279" s="2">
        <f t="shared" si="75"/>
        <v>668740</v>
      </c>
      <c r="N279" s="2">
        <f t="shared" si="76"/>
        <v>814480</v>
      </c>
      <c r="O279" s="2">
        <f t="shared" si="77"/>
        <v>673490</v>
      </c>
      <c r="P279" s="2">
        <f t="shared" si="78"/>
        <v>1243661.2333658701</v>
      </c>
      <c r="Q279" s="3">
        <f t="shared" si="79"/>
        <v>1672196061.6438355</v>
      </c>
      <c r="R279" s="3">
        <f t="shared" si="80"/>
        <v>7353139253.6986303</v>
      </c>
      <c r="S279" s="3">
        <f t="shared" si="81"/>
        <v>1672196061.6438355</v>
      </c>
      <c r="T279" s="3">
        <f t="shared" si="82"/>
        <v>1225241609.8630137</v>
      </c>
      <c r="U279" s="3">
        <f t="shared" si="83"/>
        <v>1817473069.589041</v>
      </c>
      <c r="V279" s="3">
        <f t="shared" si="84"/>
        <v>1242708986.5753424</v>
      </c>
      <c r="W279" s="3">
        <f t="shared" si="85"/>
        <v>4237515790.0742936</v>
      </c>
      <c r="X279" s="3">
        <f t="shared" si="86"/>
        <v>1546693263377.1172</v>
      </c>
      <c r="Y279" s="3">
        <f t="shared" si="87"/>
        <v>31540163773833.738</v>
      </c>
      <c r="AK279">
        <v>1.8475200000000001</v>
      </c>
      <c r="AL279">
        <v>1000000</v>
      </c>
      <c r="AM279">
        <f t="shared" si="88"/>
        <v>1847520</v>
      </c>
      <c r="AN279">
        <v>1.98851</v>
      </c>
      <c r="AO279">
        <v>1000000</v>
      </c>
      <c r="AP279">
        <f t="shared" si="89"/>
        <v>1988510</v>
      </c>
    </row>
    <row r="280" spans="1:42" x14ac:dyDescent="0.4">
      <c r="A280">
        <v>269</v>
      </c>
      <c r="B280" s="2">
        <v>2605970</v>
      </c>
      <c r="C280" s="2">
        <v>475641</v>
      </c>
      <c r="D280" s="2">
        <f>IF(B280&lt;2500000,2500000,B280)</f>
        <v>2605970</v>
      </c>
      <c r="E280" s="2">
        <v>2448640</v>
      </c>
      <c r="F280" s="2">
        <v>1625820</v>
      </c>
      <c r="G280" s="2">
        <v>1785320</v>
      </c>
      <c r="H280" s="2">
        <v>3761979.7145182928</v>
      </c>
      <c r="I280" s="2">
        <f>25.84*(100000)</f>
        <v>2584000</v>
      </c>
      <c r="J280" s="2">
        <f t="shared" si="72"/>
        <v>21970</v>
      </c>
      <c r="K280" s="2">
        <f t="shared" si="73"/>
        <v>2108359</v>
      </c>
      <c r="L280" s="2">
        <f t="shared" si="74"/>
        <v>21970</v>
      </c>
      <c r="M280" s="2">
        <f t="shared" si="75"/>
        <v>135360</v>
      </c>
      <c r="N280" s="2">
        <f t="shared" si="76"/>
        <v>958180</v>
      </c>
      <c r="O280" s="2">
        <f t="shared" si="77"/>
        <v>798680</v>
      </c>
      <c r="P280" s="2">
        <f t="shared" si="78"/>
        <v>1177979.7145182928</v>
      </c>
      <c r="Q280" s="3">
        <f t="shared" si="79"/>
        <v>1322413.4246575343</v>
      </c>
      <c r="R280" s="3">
        <f t="shared" si="80"/>
        <v>12178568966.79726</v>
      </c>
      <c r="S280" s="3">
        <f t="shared" si="81"/>
        <v>1322413.4246575343</v>
      </c>
      <c r="T280" s="3">
        <f t="shared" si="82"/>
        <v>50198163.287671231</v>
      </c>
      <c r="U280" s="3">
        <f t="shared" si="83"/>
        <v>2515366883.2876711</v>
      </c>
      <c r="V280" s="3">
        <f t="shared" si="84"/>
        <v>1747643129.8630137</v>
      </c>
      <c r="W280" s="3">
        <f t="shared" si="85"/>
        <v>3801743035.1139688</v>
      </c>
      <c r="X280" s="3">
        <f t="shared" si="86"/>
        <v>1387636207816.5986</v>
      </c>
      <c r="Y280" s="3">
        <f t="shared" si="87"/>
        <v>32422353603970.727</v>
      </c>
      <c r="AK280">
        <v>1.62582</v>
      </c>
      <c r="AL280">
        <v>1000000</v>
      </c>
      <c r="AM280">
        <f t="shared" si="88"/>
        <v>1625820</v>
      </c>
      <c r="AN280">
        <v>1.78532</v>
      </c>
      <c r="AO280">
        <v>1000000</v>
      </c>
      <c r="AP280">
        <f t="shared" si="89"/>
        <v>1785320</v>
      </c>
    </row>
    <row r="281" spans="1:42" x14ac:dyDescent="0.4">
      <c r="A281">
        <v>270</v>
      </c>
      <c r="B281" s="2">
        <v>2085659.9999999998</v>
      </c>
      <c r="C281" s="2">
        <v>225267</v>
      </c>
      <c r="D281" s="2">
        <f>IF(B281&lt;2500000,2500000,B281)</f>
        <v>2500000</v>
      </c>
      <c r="E281" s="2">
        <v>1903140</v>
      </c>
      <c r="F281" s="2">
        <v>1434200</v>
      </c>
      <c r="G281" s="2">
        <v>1606660</v>
      </c>
      <c r="H281" s="2">
        <v>3638734.422557231</v>
      </c>
      <c r="I281" s="2">
        <f>25.05*(100000)</f>
        <v>2505000</v>
      </c>
      <c r="J281" s="2">
        <f t="shared" si="72"/>
        <v>419340.00000000023</v>
      </c>
      <c r="K281" s="2">
        <f t="shared" si="73"/>
        <v>2279733</v>
      </c>
      <c r="L281" s="2">
        <f t="shared" si="74"/>
        <v>5000</v>
      </c>
      <c r="M281" s="2">
        <f t="shared" si="75"/>
        <v>601860</v>
      </c>
      <c r="N281" s="2">
        <f t="shared" si="76"/>
        <v>1070800</v>
      </c>
      <c r="O281" s="2">
        <f t="shared" si="77"/>
        <v>898340</v>
      </c>
      <c r="P281" s="2">
        <f t="shared" si="78"/>
        <v>1133734.422557231</v>
      </c>
      <c r="Q281" s="3">
        <f t="shared" si="79"/>
        <v>481769960.54794568</v>
      </c>
      <c r="R281" s="3">
        <f t="shared" si="80"/>
        <v>14238856304.901369</v>
      </c>
      <c r="S281" s="3">
        <f t="shared" si="81"/>
        <v>68493.150684931505</v>
      </c>
      <c r="T281" s="3">
        <f t="shared" si="82"/>
        <v>992425916.71232879</v>
      </c>
      <c r="U281" s="3">
        <f t="shared" si="83"/>
        <v>3141404493.1506848</v>
      </c>
      <c r="V281" s="3">
        <f t="shared" si="84"/>
        <v>2210999330.4109588</v>
      </c>
      <c r="W281" s="3">
        <f t="shared" si="85"/>
        <v>3521517098.331995</v>
      </c>
      <c r="X281" s="3">
        <f t="shared" si="86"/>
        <v>1285353740891.1782</v>
      </c>
      <c r="Y281" s="3">
        <f t="shared" si="87"/>
        <v>33328256560135.109</v>
      </c>
      <c r="AK281">
        <v>1.4341999999999999</v>
      </c>
      <c r="AL281">
        <v>1000000</v>
      </c>
      <c r="AM281">
        <f t="shared" si="88"/>
        <v>1434200</v>
      </c>
      <c r="AN281">
        <v>1.60666</v>
      </c>
      <c r="AO281">
        <v>1000000</v>
      </c>
      <c r="AP281">
        <f t="shared" si="89"/>
        <v>1606660</v>
      </c>
    </row>
    <row r="282" spans="1:42" x14ac:dyDescent="0.4">
      <c r="A282">
        <v>271</v>
      </c>
      <c r="B282" s="2">
        <v>1708140</v>
      </c>
      <c r="C282" s="2">
        <v>108042</v>
      </c>
      <c r="D282" s="2">
        <f>IF(B282&lt;2500000,2500000,B282)</f>
        <v>2500000</v>
      </c>
      <c r="E282" s="2">
        <v>1514910</v>
      </c>
      <c r="F282" s="2">
        <v>1269000</v>
      </c>
      <c r="G282" s="2">
        <v>1449050</v>
      </c>
      <c r="H282" s="2">
        <v>3530897.5463641342</v>
      </c>
      <c r="I282" s="2">
        <f>25.54*(100000)</f>
        <v>2554000</v>
      </c>
      <c r="J282" s="2">
        <f t="shared" si="72"/>
        <v>845860</v>
      </c>
      <c r="K282" s="2">
        <f t="shared" si="73"/>
        <v>2445958</v>
      </c>
      <c r="L282" s="2">
        <f t="shared" si="74"/>
        <v>54000</v>
      </c>
      <c r="M282" s="2">
        <f t="shared" si="75"/>
        <v>1039090</v>
      </c>
      <c r="N282" s="2">
        <f t="shared" si="76"/>
        <v>1285000</v>
      </c>
      <c r="O282" s="2">
        <f t="shared" si="77"/>
        <v>1104950</v>
      </c>
      <c r="P282" s="2">
        <f t="shared" si="78"/>
        <v>976897.54636413418</v>
      </c>
      <c r="Q282" s="3">
        <f t="shared" si="79"/>
        <v>1960216820.8219178</v>
      </c>
      <c r="R282" s="3">
        <f t="shared" si="80"/>
        <v>16390987774.69589</v>
      </c>
      <c r="S282" s="3">
        <f t="shared" si="81"/>
        <v>7989041.0958904112</v>
      </c>
      <c r="T282" s="3">
        <f t="shared" si="82"/>
        <v>2958104186.5753427</v>
      </c>
      <c r="U282" s="3">
        <f t="shared" si="83"/>
        <v>4523904109.5890408</v>
      </c>
      <c r="V282" s="3">
        <f t="shared" si="84"/>
        <v>3344971239.7260275</v>
      </c>
      <c r="W282" s="3">
        <f t="shared" si="85"/>
        <v>2614599496.1431937</v>
      </c>
      <c r="X282" s="3">
        <f t="shared" si="86"/>
        <v>954328816092.26563</v>
      </c>
      <c r="Y282" s="3">
        <f t="shared" si="87"/>
        <v>32764897384792.645</v>
      </c>
      <c r="AK282">
        <v>1.2689999999999999</v>
      </c>
      <c r="AL282">
        <v>1000000</v>
      </c>
      <c r="AM282">
        <f t="shared" si="88"/>
        <v>1269000</v>
      </c>
      <c r="AN282">
        <v>1.4490499999999999</v>
      </c>
      <c r="AO282">
        <v>1000000</v>
      </c>
      <c r="AP282">
        <f t="shared" si="89"/>
        <v>1449050</v>
      </c>
    </row>
    <row r="283" spans="1:42" x14ac:dyDescent="0.4">
      <c r="A283">
        <v>272</v>
      </c>
      <c r="B283" s="2">
        <v>1406750</v>
      </c>
      <c r="C283" s="2">
        <v>52238.9</v>
      </c>
      <c r="D283" s="2">
        <f>IF(B283&lt;2500000,2500000,B283)</f>
        <v>2500000</v>
      </c>
      <c r="E283" s="2">
        <v>1211690</v>
      </c>
      <c r="F283" s="2">
        <v>1118980</v>
      </c>
      <c r="G283" s="2">
        <v>1305690</v>
      </c>
      <c r="H283" s="2">
        <v>3432742.5746095669</v>
      </c>
      <c r="I283" s="2">
        <f>25.14*(100000)</f>
        <v>2514000</v>
      </c>
      <c r="J283" s="2">
        <f t="shared" si="72"/>
        <v>1107250</v>
      </c>
      <c r="K283" s="2">
        <f t="shared" si="73"/>
        <v>2461761.1</v>
      </c>
      <c r="L283" s="2">
        <f t="shared" si="74"/>
        <v>14000</v>
      </c>
      <c r="M283" s="2">
        <f t="shared" si="75"/>
        <v>1302310</v>
      </c>
      <c r="N283" s="2">
        <f t="shared" si="76"/>
        <v>1395020</v>
      </c>
      <c r="O283" s="2">
        <f t="shared" si="77"/>
        <v>1208310</v>
      </c>
      <c r="P283" s="2">
        <f t="shared" si="78"/>
        <v>918742.57460956695</v>
      </c>
      <c r="Q283" s="3">
        <f t="shared" si="79"/>
        <v>3358911130.1369863</v>
      </c>
      <c r="R283" s="3">
        <f t="shared" si="80"/>
        <v>16603473187.597837</v>
      </c>
      <c r="S283" s="3">
        <f t="shared" si="81"/>
        <v>536986.30136986298</v>
      </c>
      <c r="T283" s="3">
        <f t="shared" si="82"/>
        <v>4646606400.2739725</v>
      </c>
      <c r="U283" s="3">
        <f t="shared" si="83"/>
        <v>5331728220.2739725</v>
      </c>
      <c r="V283" s="3">
        <f t="shared" si="84"/>
        <v>4000035770.1369863</v>
      </c>
      <c r="W283" s="3">
        <f t="shared" si="85"/>
        <v>2312569639.4526458</v>
      </c>
      <c r="X283" s="3">
        <f t="shared" si="86"/>
        <v>844087918400.2157</v>
      </c>
      <c r="Y283" s="3">
        <f t="shared" si="87"/>
        <v>33224422425888.535</v>
      </c>
      <c r="AK283">
        <v>1.1189800000000001</v>
      </c>
      <c r="AL283">
        <v>1000000</v>
      </c>
      <c r="AM283">
        <f t="shared" si="88"/>
        <v>1118980</v>
      </c>
      <c r="AN283">
        <v>1.30569</v>
      </c>
      <c r="AO283">
        <v>1000000</v>
      </c>
      <c r="AP283">
        <f t="shared" si="89"/>
        <v>1305690</v>
      </c>
    </row>
    <row r="284" spans="1:42" x14ac:dyDescent="0.4">
      <c r="A284">
        <v>273</v>
      </c>
      <c r="B284" s="2">
        <v>1160890</v>
      </c>
      <c r="C284" s="2">
        <v>25386.5</v>
      </c>
      <c r="D284" s="2">
        <f>IF(B284&lt;2500000,2500000,B284)</f>
        <v>2500000</v>
      </c>
      <c r="E284" s="2">
        <v>971192</v>
      </c>
      <c r="F284" s="2">
        <v>989054</v>
      </c>
      <c r="G284" s="2">
        <v>1176880</v>
      </c>
      <c r="H284" s="2">
        <v>3343303.4510850082</v>
      </c>
      <c r="I284" s="2">
        <f>25.23*(100000)</f>
        <v>2523000</v>
      </c>
      <c r="J284" s="2">
        <f t="shared" si="72"/>
        <v>1362110</v>
      </c>
      <c r="K284" s="2">
        <f t="shared" si="73"/>
        <v>2497613.5</v>
      </c>
      <c r="L284" s="2">
        <f t="shared" si="74"/>
        <v>23000</v>
      </c>
      <c r="M284" s="2">
        <f t="shared" si="75"/>
        <v>1551808</v>
      </c>
      <c r="N284" s="2">
        <f t="shared" si="76"/>
        <v>1533946</v>
      </c>
      <c r="O284" s="2">
        <f t="shared" si="77"/>
        <v>1346120</v>
      </c>
      <c r="P284" s="2">
        <f t="shared" si="78"/>
        <v>820303.45108500822</v>
      </c>
      <c r="Q284" s="3">
        <f t="shared" si="79"/>
        <v>5083133293.4246578</v>
      </c>
      <c r="R284" s="3">
        <f t="shared" si="80"/>
        <v>17090611494.197945</v>
      </c>
      <c r="S284" s="3">
        <f t="shared" si="81"/>
        <v>1449315.0684931506</v>
      </c>
      <c r="T284" s="3">
        <f t="shared" si="82"/>
        <v>6597556353.0520544</v>
      </c>
      <c r="U284" s="3">
        <f t="shared" si="83"/>
        <v>6446548851.8246574</v>
      </c>
      <c r="V284" s="3">
        <f t="shared" si="84"/>
        <v>4964490560</v>
      </c>
      <c r="W284" s="3">
        <f t="shared" si="85"/>
        <v>1843555484.5533547</v>
      </c>
      <c r="X284" s="3">
        <f t="shared" si="86"/>
        <v>672897751861.97449</v>
      </c>
      <c r="Y284" s="3">
        <f t="shared" si="87"/>
        <v>33120750291641.957</v>
      </c>
      <c r="AK284">
        <v>989054</v>
      </c>
      <c r="AM284">
        <f t="shared" si="88"/>
        <v>989054</v>
      </c>
      <c r="AN284">
        <v>1.1768799999999999</v>
      </c>
      <c r="AO284">
        <v>1000000</v>
      </c>
      <c r="AP284">
        <f t="shared" si="89"/>
        <v>1176880</v>
      </c>
    </row>
    <row r="285" spans="1:42" x14ac:dyDescent="0.4">
      <c r="A285">
        <v>274</v>
      </c>
      <c r="B285" s="2">
        <v>961428</v>
      </c>
      <c r="C285" s="2">
        <v>12376.2</v>
      </c>
      <c r="D285" s="2">
        <f>IF(B285&lt;2500000,2500000,B285)</f>
        <v>2500000</v>
      </c>
      <c r="E285" s="2">
        <v>781885</v>
      </c>
      <c r="F285" s="2">
        <v>876234</v>
      </c>
      <c r="G285" s="2">
        <v>1062690</v>
      </c>
      <c r="H285" s="2">
        <v>3260548.2257832061</v>
      </c>
      <c r="I285" s="2">
        <f>24.82*(100000)</f>
        <v>2482000</v>
      </c>
      <c r="J285" s="2">
        <f t="shared" si="72"/>
        <v>1520572</v>
      </c>
      <c r="K285" s="2">
        <f t="shared" si="73"/>
        <v>2469623.7999999998</v>
      </c>
      <c r="L285" s="2">
        <f t="shared" si="74"/>
        <v>18000</v>
      </c>
      <c r="M285" s="2">
        <f t="shared" si="75"/>
        <v>1700115</v>
      </c>
      <c r="N285" s="2">
        <f t="shared" si="76"/>
        <v>1605766</v>
      </c>
      <c r="O285" s="2">
        <f t="shared" si="77"/>
        <v>1419310</v>
      </c>
      <c r="P285" s="2">
        <f t="shared" si="78"/>
        <v>778548.22578320606</v>
      </c>
      <c r="Q285" s="3">
        <f t="shared" si="79"/>
        <v>6334627964.8876715</v>
      </c>
      <c r="R285" s="3">
        <f t="shared" si="80"/>
        <v>16709703324.729971</v>
      </c>
      <c r="S285" s="3">
        <f t="shared" si="81"/>
        <v>887671.23287671234</v>
      </c>
      <c r="T285" s="3">
        <f t="shared" si="82"/>
        <v>7918879488.2876711</v>
      </c>
      <c r="U285" s="3">
        <f t="shared" si="83"/>
        <v>7064340950.0164385</v>
      </c>
      <c r="V285" s="3">
        <f t="shared" si="84"/>
        <v>5519016098.90411</v>
      </c>
      <c r="W285" s="3">
        <f t="shared" si="85"/>
        <v>1660650246.2196658</v>
      </c>
      <c r="X285" s="3">
        <f t="shared" si="86"/>
        <v>606137339870.17798</v>
      </c>
      <c r="Y285" s="3">
        <f t="shared" si="87"/>
        <v>33594346458765.246</v>
      </c>
      <c r="AK285">
        <v>876234</v>
      </c>
      <c r="AM285">
        <f t="shared" si="88"/>
        <v>876234</v>
      </c>
      <c r="AN285">
        <v>1.0626899999999999</v>
      </c>
      <c r="AO285">
        <v>1000000</v>
      </c>
      <c r="AP285">
        <f t="shared" si="89"/>
        <v>1062690</v>
      </c>
    </row>
    <row r="286" spans="1:42" x14ac:dyDescent="0.4">
      <c r="A286">
        <v>275</v>
      </c>
      <c r="B286" s="2">
        <v>794972</v>
      </c>
      <c r="C286" s="2">
        <v>6045.42</v>
      </c>
      <c r="D286" s="2">
        <f>IF(B286&lt;2500000,2500000,B286)</f>
        <v>2500000</v>
      </c>
      <c r="E286" s="2">
        <v>627654</v>
      </c>
      <c r="F286" s="2">
        <v>774006</v>
      </c>
      <c r="G286" s="2">
        <v>958824</v>
      </c>
      <c r="H286" s="2">
        <v>3182045.9841087349</v>
      </c>
      <c r="I286" s="2">
        <f>26.21*(100000)</f>
        <v>2621000</v>
      </c>
      <c r="J286" s="2">
        <f t="shared" si="72"/>
        <v>1826028</v>
      </c>
      <c r="K286" s="2">
        <f t="shared" si="73"/>
        <v>2614954.58</v>
      </c>
      <c r="L286" s="2">
        <f t="shared" si="74"/>
        <v>121000</v>
      </c>
      <c r="M286" s="2">
        <f t="shared" si="75"/>
        <v>1993346</v>
      </c>
      <c r="N286" s="2">
        <f t="shared" si="76"/>
        <v>1846994</v>
      </c>
      <c r="O286" s="2">
        <f t="shared" si="77"/>
        <v>1662176</v>
      </c>
      <c r="P286" s="2">
        <f t="shared" si="78"/>
        <v>561045.98410873488</v>
      </c>
      <c r="Q286" s="3">
        <f t="shared" si="79"/>
        <v>9135282895.2986298</v>
      </c>
      <c r="R286" s="3">
        <f t="shared" si="80"/>
        <v>18734212206.747883</v>
      </c>
      <c r="S286" s="3">
        <f t="shared" si="81"/>
        <v>40112328.767123289</v>
      </c>
      <c r="T286" s="3">
        <f t="shared" si="82"/>
        <v>10886104864.975342</v>
      </c>
      <c r="U286" s="3">
        <f t="shared" si="83"/>
        <v>9346265304.2082195</v>
      </c>
      <c r="V286" s="3">
        <f t="shared" si="84"/>
        <v>7569394671.1671228</v>
      </c>
      <c r="W286" s="3">
        <f t="shared" si="85"/>
        <v>862390674.75216103</v>
      </c>
      <c r="X286" s="3">
        <f t="shared" si="86"/>
        <v>314772596284.53876</v>
      </c>
      <c r="Y286" s="3">
        <f t="shared" si="87"/>
        <v>32002361940957.027</v>
      </c>
      <c r="AK286">
        <v>774006</v>
      </c>
      <c r="AM286">
        <f t="shared" si="88"/>
        <v>774006</v>
      </c>
      <c r="AN286">
        <v>958824</v>
      </c>
      <c r="AP286">
        <f t="shared" si="89"/>
        <v>958824</v>
      </c>
    </row>
    <row r="287" spans="1:42" x14ac:dyDescent="0.4">
      <c r="A287">
        <v>276</v>
      </c>
      <c r="B287" s="2">
        <v>659236</v>
      </c>
      <c r="C287" s="2">
        <v>3016.72</v>
      </c>
      <c r="D287" s="2">
        <f>IF(B287&lt;2500000,2500000,B287)</f>
        <v>2500000</v>
      </c>
      <c r="E287" s="2">
        <v>506158</v>
      </c>
      <c r="F287" s="2">
        <v>687195</v>
      </c>
      <c r="G287" s="2">
        <v>866584</v>
      </c>
      <c r="H287" s="2">
        <v>3108367.9569993182</v>
      </c>
      <c r="I287" s="2">
        <f>27.78*(100000)</f>
        <v>2778000</v>
      </c>
      <c r="J287" s="2">
        <f t="shared" si="72"/>
        <v>2118764</v>
      </c>
      <c r="K287" s="2">
        <f t="shared" si="73"/>
        <v>2774983.28</v>
      </c>
      <c r="L287" s="2">
        <f t="shared" si="74"/>
        <v>278000</v>
      </c>
      <c r="M287" s="2">
        <f t="shared" si="75"/>
        <v>2271842</v>
      </c>
      <c r="N287" s="2">
        <f t="shared" si="76"/>
        <v>2090805</v>
      </c>
      <c r="O287" s="2">
        <f t="shared" si="77"/>
        <v>1911416</v>
      </c>
      <c r="P287" s="2">
        <f t="shared" si="78"/>
        <v>330367.95699931821</v>
      </c>
      <c r="Q287" s="3">
        <f t="shared" si="79"/>
        <v>12299070925.194521</v>
      </c>
      <c r="R287" s="3">
        <f t="shared" si="80"/>
        <v>21097348504.8755</v>
      </c>
      <c r="S287" s="3">
        <f t="shared" si="81"/>
        <v>211736986.30136988</v>
      </c>
      <c r="T287" s="3">
        <f t="shared" si="82"/>
        <v>14140454994.421917</v>
      </c>
      <c r="U287" s="3">
        <f t="shared" si="83"/>
        <v>11976617939.794521</v>
      </c>
      <c r="V287" s="3">
        <f t="shared" si="84"/>
        <v>10009619520.70137</v>
      </c>
      <c r="W287" s="3">
        <f t="shared" si="85"/>
        <v>299021882.22439277</v>
      </c>
      <c r="X287" s="3">
        <f t="shared" si="86"/>
        <v>109142987011.90337</v>
      </c>
      <c r="Y287" s="3">
        <f t="shared" si="87"/>
        <v>30250693154655.656</v>
      </c>
      <c r="AK287">
        <v>687195</v>
      </c>
      <c r="AM287">
        <f t="shared" si="88"/>
        <v>687195</v>
      </c>
      <c r="AN287">
        <v>866584</v>
      </c>
      <c r="AP287">
        <f t="shared" si="89"/>
        <v>866584</v>
      </c>
    </row>
    <row r="288" spans="1:42" x14ac:dyDescent="0.4">
      <c r="A288">
        <v>277</v>
      </c>
      <c r="B288" s="2">
        <v>546187</v>
      </c>
      <c r="C288" s="2">
        <v>1476.49</v>
      </c>
      <c r="D288" s="2">
        <f>IF(B288&lt;2500000,2500000,B288)</f>
        <v>2500000</v>
      </c>
      <c r="E288" s="2">
        <v>407265</v>
      </c>
      <c r="F288" s="2">
        <v>607833</v>
      </c>
      <c r="G288" s="2">
        <v>782856</v>
      </c>
      <c r="H288" s="2">
        <v>3037320.367783376</v>
      </c>
      <c r="I288" s="2">
        <f>28.7*(100000)</f>
        <v>2870000</v>
      </c>
      <c r="J288" s="2">
        <f t="shared" si="72"/>
        <v>2323813</v>
      </c>
      <c r="K288" s="2">
        <f t="shared" si="73"/>
        <v>2868523.51</v>
      </c>
      <c r="L288" s="2">
        <f t="shared" si="74"/>
        <v>370000</v>
      </c>
      <c r="M288" s="2">
        <f t="shared" si="75"/>
        <v>2462735</v>
      </c>
      <c r="N288" s="2">
        <f t="shared" si="76"/>
        <v>2262167</v>
      </c>
      <c r="O288" s="2">
        <f t="shared" si="77"/>
        <v>2087144</v>
      </c>
      <c r="P288" s="2">
        <f t="shared" si="78"/>
        <v>167320.36778337602</v>
      </c>
      <c r="Q288" s="3">
        <f t="shared" si="79"/>
        <v>14794813312.243835</v>
      </c>
      <c r="R288" s="3">
        <f t="shared" si="80"/>
        <v>22543635965.541695</v>
      </c>
      <c r="S288" s="3">
        <f t="shared" si="81"/>
        <v>375068493.15068495</v>
      </c>
      <c r="T288" s="3">
        <f t="shared" si="82"/>
        <v>16616612822.534246</v>
      </c>
      <c r="U288" s="3">
        <f t="shared" si="83"/>
        <v>14020272701.065754</v>
      </c>
      <c r="V288" s="3">
        <f t="shared" si="84"/>
        <v>11934712539.002739</v>
      </c>
      <c r="W288" s="3">
        <f t="shared" si="85"/>
        <v>76701658.836066335</v>
      </c>
      <c r="X288" s="3">
        <f t="shared" si="86"/>
        <v>27996105475.164215</v>
      </c>
      <c r="Y288" s="3">
        <f t="shared" si="87"/>
        <v>29247145560135.109</v>
      </c>
      <c r="AK288">
        <v>607833</v>
      </c>
      <c r="AM288">
        <f t="shared" si="88"/>
        <v>607833</v>
      </c>
      <c r="AN288">
        <v>782856</v>
      </c>
      <c r="AP288">
        <f t="shared" si="89"/>
        <v>782856</v>
      </c>
    </row>
    <row r="289" spans="1:42" x14ac:dyDescent="0.4">
      <c r="A289">
        <v>278</v>
      </c>
      <c r="B289" s="2">
        <v>450709</v>
      </c>
      <c r="C289" s="2">
        <v>722.96900000000005</v>
      </c>
      <c r="D289" s="2">
        <f>IF(B289&lt;2500000,2500000,B289)</f>
        <v>2500000</v>
      </c>
      <c r="E289" s="2">
        <v>326033</v>
      </c>
      <c r="F289" s="2">
        <v>537211</v>
      </c>
      <c r="G289" s="2">
        <v>706359</v>
      </c>
      <c r="H289" s="2">
        <v>2968978.7610993348</v>
      </c>
      <c r="I289" s="2">
        <f>28.01*(100000)</f>
        <v>2801000</v>
      </c>
      <c r="J289" s="2">
        <f t="shared" si="72"/>
        <v>2350291</v>
      </c>
      <c r="K289" s="2">
        <f t="shared" si="73"/>
        <v>2800277.031</v>
      </c>
      <c r="L289" s="2">
        <f t="shared" si="74"/>
        <v>301000</v>
      </c>
      <c r="M289" s="2">
        <f t="shared" si="75"/>
        <v>2474967</v>
      </c>
      <c r="N289" s="2">
        <f t="shared" si="76"/>
        <v>2263789</v>
      </c>
      <c r="O289" s="2">
        <f t="shared" si="77"/>
        <v>2094641</v>
      </c>
      <c r="P289" s="2">
        <f t="shared" si="78"/>
        <v>167978.76109933481</v>
      </c>
      <c r="Q289" s="3">
        <f t="shared" si="79"/>
        <v>15133884341.591782</v>
      </c>
      <c r="R289" s="3">
        <f t="shared" si="80"/>
        <v>21483702603.688148</v>
      </c>
      <c r="S289" s="3">
        <f t="shared" si="81"/>
        <v>248221917.80821916</v>
      </c>
      <c r="T289" s="3">
        <f t="shared" si="82"/>
        <v>16782086715.312328</v>
      </c>
      <c r="U289" s="3">
        <f t="shared" si="83"/>
        <v>14040385305.536985</v>
      </c>
      <c r="V289" s="3">
        <f t="shared" si="84"/>
        <v>12020605257.20822</v>
      </c>
      <c r="W289" s="3">
        <f t="shared" si="85"/>
        <v>77306477.206759989</v>
      </c>
      <c r="X289" s="3">
        <f t="shared" si="86"/>
        <v>28216864180.467396</v>
      </c>
      <c r="Y289" s="3">
        <f t="shared" si="87"/>
        <v>29998219256025.52</v>
      </c>
      <c r="AK289">
        <v>537211</v>
      </c>
      <c r="AM289">
        <f t="shared" si="88"/>
        <v>537211</v>
      </c>
      <c r="AN289">
        <v>706359</v>
      </c>
      <c r="AP289">
        <f t="shared" si="89"/>
        <v>706359</v>
      </c>
    </row>
    <row r="290" spans="1:42" x14ac:dyDescent="0.4">
      <c r="A290">
        <v>279</v>
      </c>
      <c r="B290" s="2">
        <v>371300</v>
      </c>
      <c r="C290" s="2">
        <v>354.101</v>
      </c>
      <c r="D290" s="2">
        <f>IF(B290&lt;2500000,2500000,B290)</f>
        <v>2500000</v>
      </c>
      <c r="E290" s="2">
        <v>260825</v>
      </c>
      <c r="F290" s="2">
        <v>474633</v>
      </c>
      <c r="G290" s="2">
        <v>637162</v>
      </c>
      <c r="H290" s="2">
        <v>2903081.9882186642</v>
      </c>
      <c r="I290" s="2">
        <f>28.55*(100000)</f>
        <v>2855000</v>
      </c>
      <c r="J290" s="2">
        <f t="shared" si="72"/>
        <v>2483700</v>
      </c>
      <c r="K290" s="2">
        <f t="shared" si="73"/>
        <v>2854645.8990000002</v>
      </c>
      <c r="L290" s="2">
        <f t="shared" si="74"/>
        <v>355000</v>
      </c>
      <c r="M290" s="2">
        <f t="shared" si="75"/>
        <v>2594175</v>
      </c>
      <c r="N290" s="2">
        <f t="shared" si="76"/>
        <v>2380367</v>
      </c>
      <c r="O290" s="2">
        <f t="shared" si="77"/>
        <v>2217838</v>
      </c>
      <c r="P290" s="2">
        <f t="shared" si="78"/>
        <v>48081.988218664192</v>
      </c>
      <c r="Q290" s="3">
        <f t="shared" si="79"/>
        <v>16900727917.80822</v>
      </c>
      <c r="R290" s="3">
        <f t="shared" si="80"/>
        <v>22326036188.157589</v>
      </c>
      <c r="S290" s="3">
        <f t="shared" si="81"/>
        <v>345273972.60273975</v>
      </c>
      <c r="T290" s="3">
        <f t="shared" si="82"/>
        <v>18437654604.452053</v>
      </c>
      <c r="U290" s="3">
        <f t="shared" si="83"/>
        <v>15523690560.79178</v>
      </c>
      <c r="V290" s="3">
        <f t="shared" si="84"/>
        <v>13476179162.312328</v>
      </c>
      <c r="W290" s="3">
        <f t="shared" si="85"/>
        <v>6333911.2083829092</v>
      </c>
      <c r="X290" s="3">
        <f t="shared" si="86"/>
        <v>2311877591.059762</v>
      </c>
      <c r="Y290" s="3">
        <f t="shared" si="87"/>
        <v>29409612450546.066</v>
      </c>
      <c r="AK290">
        <v>474633</v>
      </c>
      <c r="AM290">
        <f t="shared" si="88"/>
        <v>474633</v>
      </c>
      <c r="AN290">
        <v>637162</v>
      </c>
      <c r="AP290">
        <f t="shared" si="89"/>
        <v>637162</v>
      </c>
    </row>
    <row r="291" spans="1:42" x14ac:dyDescent="0.4">
      <c r="A291">
        <v>280</v>
      </c>
      <c r="B291" s="2">
        <v>307466</v>
      </c>
      <c r="C291" s="2">
        <v>173.464</v>
      </c>
      <c r="D291" s="2">
        <f>IF(B291&lt;2500000,2500000,B291)</f>
        <v>2500000</v>
      </c>
      <c r="E291" s="2">
        <v>210095</v>
      </c>
      <c r="F291" s="2">
        <v>4873860</v>
      </c>
      <c r="G291" s="2">
        <v>575873</v>
      </c>
      <c r="H291" s="2">
        <v>2839894.090905203</v>
      </c>
      <c r="I291" s="2">
        <f>31.85*(100000)</f>
        <v>3185000</v>
      </c>
      <c r="J291" s="2">
        <f t="shared" si="72"/>
        <v>2877534</v>
      </c>
      <c r="K291" s="2">
        <f t="shared" si="73"/>
        <v>3184826.5359999998</v>
      </c>
      <c r="L291" s="2">
        <f t="shared" si="74"/>
        <v>685000</v>
      </c>
      <c r="M291" s="2">
        <f t="shared" si="75"/>
        <v>2974905</v>
      </c>
      <c r="N291" s="2">
        <f t="shared" si="76"/>
        <v>1688860</v>
      </c>
      <c r="O291" s="2">
        <f t="shared" si="77"/>
        <v>2609127</v>
      </c>
      <c r="P291" s="2">
        <f t="shared" si="78"/>
        <v>345105.90909479698</v>
      </c>
      <c r="Q291" s="3">
        <f t="shared" si="79"/>
        <v>22685484715.495892</v>
      </c>
      <c r="R291" s="3">
        <f t="shared" si="80"/>
        <v>27789370039.47879</v>
      </c>
      <c r="S291" s="3">
        <f t="shared" si="81"/>
        <v>1285547945.2054794</v>
      </c>
      <c r="T291" s="3">
        <f t="shared" si="82"/>
        <v>24246739065.821918</v>
      </c>
      <c r="U291" s="3">
        <f t="shared" si="83"/>
        <v>7814378355.0684929</v>
      </c>
      <c r="V291" s="3">
        <f t="shared" si="84"/>
        <v>18650804663.367123</v>
      </c>
      <c r="W291" s="3">
        <f t="shared" si="85"/>
        <v>326296132.85519528</v>
      </c>
      <c r="X291" s="3">
        <f t="shared" si="86"/>
        <v>119098088492.14627</v>
      </c>
      <c r="Y291" s="3">
        <f t="shared" si="87"/>
        <v>25939290861504.973</v>
      </c>
      <c r="AK291">
        <v>4.8738599999999996</v>
      </c>
      <c r="AL291">
        <v>1000000</v>
      </c>
      <c r="AM291">
        <f t="shared" si="88"/>
        <v>4873860</v>
      </c>
      <c r="AN291">
        <v>575873</v>
      </c>
      <c r="AP291">
        <f t="shared" si="89"/>
        <v>575873</v>
      </c>
    </row>
    <row r="292" spans="1:42" x14ac:dyDescent="0.4">
      <c r="A292">
        <v>281</v>
      </c>
      <c r="B292" s="2">
        <v>7189410</v>
      </c>
      <c r="C292" s="2">
        <v>33497400</v>
      </c>
      <c r="D292" s="2">
        <f>IF(B292&lt;2500000,2500000,B292)</f>
        <v>7189410</v>
      </c>
      <c r="E292" s="2">
        <v>7677490</v>
      </c>
      <c r="F292" s="2">
        <v>2820190</v>
      </c>
      <c r="G292" s="2">
        <v>2167930</v>
      </c>
      <c r="H292" s="2">
        <v>5459075.1378673324</v>
      </c>
      <c r="I292" s="2">
        <f>32.23*(100000)</f>
        <v>3222999.9999999995</v>
      </c>
      <c r="J292" s="2">
        <f t="shared" si="72"/>
        <v>3966410.0000000005</v>
      </c>
      <c r="K292" s="2">
        <f t="shared" si="73"/>
        <v>30274400</v>
      </c>
      <c r="L292" s="2">
        <f t="shared" si="74"/>
        <v>3966410.0000000005</v>
      </c>
      <c r="M292" s="2">
        <f t="shared" si="75"/>
        <v>4454490</v>
      </c>
      <c r="N292" s="2">
        <f t="shared" si="76"/>
        <v>402809.99999999953</v>
      </c>
      <c r="O292" s="2">
        <f t="shared" si="77"/>
        <v>1055069.9999999995</v>
      </c>
      <c r="P292" s="2">
        <f t="shared" si="78"/>
        <v>2236075.1378673329</v>
      </c>
      <c r="Q292" s="3">
        <f t="shared" si="79"/>
        <v>43102488460.547958</v>
      </c>
      <c r="R292" s="3">
        <f t="shared" si="80"/>
        <v>2511066562630.1372</v>
      </c>
      <c r="S292" s="3">
        <f t="shared" si="81"/>
        <v>43102488460.547958</v>
      </c>
      <c r="T292" s="3">
        <f t="shared" si="82"/>
        <v>54362962082.465752</v>
      </c>
      <c r="U292" s="3">
        <f t="shared" si="83"/>
        <v>444536701.64383459</v>
      </c>
      <c r="V292" s="3">
        <f t="shared" si="84"/>
        <v>3049788232.6027369</v>
      </c>
      <c r="W292" s="3">
        <f t="shared" si="85"/>
        <v>13698717869.009348</v>
      </c>
      <c r="X292" s="3">
        <f t="shared" si="86"/>
        <v>5000032022188.4121</v>
      </c>
      <c r="Y292" s="3">
        <f t="shared" si="87"/>
        <v>25553662072463.875</v>
      </c>
      <c r="AK292">
        <v>2.8201900000000002</v>
      </c>
      <c r="AL292">
        <v>1000000</v>
      </c>
      <c r="AM292">
        <f t="shared" si="88"/>
        <v>2820190</v>
      </c>
      <c r="AN292">
        <v>2.1679300000000001</v>
      </c>
      <c r="AO292">
        <v>1000000</v>
      </c>
      <c r="AP292">
        <f t="shared" si="89"/>
        <v>2167930</v>
      </c>
    </row>
    <row r="293" spans="1:42" x14ac:dyDescent="0.4">
      <c r="A293">
        <v>282</v>
      </c>
      <c r="B293" s="2">
        <v>8684030</v>
      </c>
      <c r="C293" s="2">
        <v>16527300</v>
      </c>
      <c r="D293" s="2">
        <f>IF(B293&lt;2500000,2500000,B293)</f>
        <v>8684030</v>
      </c>
      <c r="E293" s="2">
        <v>9120180</v>
      </c>
      <c r="F293" s="2">
        <v>2607040</v>
      </c>
      <c r="G293" s="2">
        <v>2506630</v>
      </c>
      <c r="H293" s="2">
        <v>4001161.369900669</v>
      </c>
      <c r="I293" s="2">
        <f>29.27*(100000)</f>
        <v>2927000</v>
      </c>
      <c r="J293" s="2">
        <f t="shared" si="72"/>
        <v>5757030</v>
      </c>
      <c r="K293" s="2">
        <f t="shared" si="73"/>
        <v>13600300</v>
      </c>
      <c r="L293" s="2">
        <f t="shared" si="74"/>
        <v>5757030</v>
      </c>
      <c r="M293" s="2">
        <f t="shared" si="75"/>
        <v>6193180</v>
      </c>
      <c r="N293" s="2">
        <f t="shared" si="76"/>
        <v>319960</v>
      </c>
      <c r="O293" s="2">
        <f t="shared" si="77"/>
        <v>420370</v>
      </c>
      <c r="P293" s="2">
        <f t="shared" si="78"/>
        <v>1074161.369900669</v>
      </c>
      <c r="Q293" s="3">
        <f t="shared" si="79"/>
        <v>90803820331.23288</v>
      </c>
      <c r="R293" s="3">
        <f t="shared" si="80"/>
        <v>506762082438.35614</v>
      </c>
      <c r="S293" s="3">
        <f t="shared" si="81"/>
        <v>90803820331.23288</v>
      </c>
      <c r="T293" s="3">
        <f t="shared" si="82"/>
        <v>105083502773.69862</v>
      </c>
      <c r="U293" s="3">
        <f t="shared" si="83"/>
        <v>280477812.60273975</v>
      </c>
      <c r="V293" s="3">
        <f t="shared" si="84"/>
        <v>484139553.15068495</v>
      </c>
      <c r="W293" s="3">
        <f t="shared" si="85"/>
        <v>3161157941.3339229</v>
      </c>
      <c r="X293" s="3">
        <f t="shared" si="86"/>
        <v>1153822648586.8818</v>
      </c>
      <c r="Y293" s="3">
        <f t="shared" si="87"/>
        <v>28633875376573.465</v>
      </c>
      <c r="AK293">
        <v>2.60704</v>
      </c>
      <c r="AL293">
        <v>1000000</v>
      </c>
      <c r="AM293">
        <f t="shared" si="88"/>
        <v>2607040</v>
      </c>
      <c r="AN293">
        <v>2.5066299999999999</v>
      </c>
      <c r="AO293">
        <v>1000000</v>
      </c>
      <c r="AP293">
        <f t="shared" si="89"/>
        <v>2506630</v>
      </c>
    </row>
    <row r="294" spans="1:42" x14ac:dyDescent="0.4">
      <c r="A294">
        <v>283</v>
      </c>
      <c r="B294" s="2">
        <v>7791700</v>
      </c>
      <c r="C294" s="2">
        <v>6059330</v>
      </c>
      <c r="D294" s="2">
        <f>IF(B294&lt;2500000,2500000,B294)</f>
        <v>7791700</v>
      </c>
      <c r="E294" s="2">
        <v>8044409.9999999991</v>
      </c>
      <c r="F294" s="2">
        <v>2202310</v>
      </c>
      <c r="G294" s="2">
        <v>2210840</v>
      </c>
      <c r="H294" s="2">
        <v>3767024.758640354</v>
      </c>
      <c r="I294" s="2">
        <f>27.66*(100000)</f>
        <v>2766000</v>
      </c>
      <c r="J294" s="2">
        <f t="shared" si="72"/>
        <v>5025700</v>
      </c>
      <c r="K294" s="2">
        <f t="shared" si="73"/>
        <v>3293330</v>
      </c>
      <c r="L294" s="2">
        <f t="shared" si="74"/>
        <v>5025700</v>
      </c>
      <c r="M294" s="2">
        <f t="shared" si="75"/>
        <v>5278409.9999999991</v>
      </c>
      <c r="N294" s="2">
        <f t="shared" si="76"/>
        <v>563690</v>
      </c>
      <c r="O294" s="2">
        <f t="shared" si="77"/>
        <v>555160</v>
      </c>
      <c r="P294" s="2">
        <f t="shared" si="78"/>
        <v>1001024.758640354</v>
      </c>
      <c r="Q294" s="3">
        <f t="shared" si="79"/>
        <v>69199069835.61644</v>
      </c>
      <c r="R294" s="3">
        <f t="shared" si="80"/>
        <v>29715130106.575344</v>
      </c>
      <c r="S294" s="3">
        <f t="shared" si="81"/>
        <v>69199069835.61644</v>
      </c>
      <c r="T294" s="3">
        <f t="shared" si="82"/>
        <v>76333183912.602707</v>
      </c>
      <c r="U294" s="3">
        <f t="shared" si="83"/>
        <v>870538126.30136991</v>
      </c>
      <c r="V294" s="3">
        <f t="shared" si="84"/>
        <v>844390755.06849313</v>
      </c>
      <c r="W294" s="3">
        <f t="shared" si="85"/>
        <v>2745344020.3040519</v>
      </c>
      <c r="X294" s="3">
        <f t="shared" si="86"/>
        <v>1002050567410.979</v>
      </c>
      <c r="Y294" s="3">
        <f t="shared" si="87"/>
        <v>30382838666984.422</v>
      </c>
      <c r="AK294">
        <v>2.2023100000000002</v>
      </c>
      <c r="AL294">
        <v>1000000</v>
      </c>
      <c r="AM294">
        <f t="shared" si="88"/>
        <v>2202310</v>
      </c>
      <c r="AN294">
        <v>2.2108400000000001</v>
      </c>
      <c r="AO294">
        <v>1000000</v>
      </c>
      <c r="AP294">
        <f t="shared" si="89"/>
        <v>2210840</v>
      </c>
    </row>
    <row r="295" spans="1:42" x14ac:dyDescent="0.4">
      <c r="A295">
        <v>284</v>
      </c>
      <c r="B295" s="2">
        <v>6117040</v>
      </c>
      <c r="C295" s="2">
        <v>2636070</v>
      </c>
      <c r="D295" s="2">
        <f>IF(B295&lt;2500000,2500000,B295)</f>
        <v>6117040</v>
      </c>
      <c r="E295" s="2">
        <v>6228870</v>
      </c>
      <c r="F295" s="2">
        <v>1877440</v>
      </c>
      <c r="G295" s="2">
        <v>1920660</v>
      </c>
      <c r="H295" s="2">
        <v>3678121.9725306369</v>
      </c>
      <c r="I295" s="2">
        <f>29.54*(100000)</f>
        <v>2954000</v>
      </c>
      <c r="J295" s="2">
        <f t="shared" si="72"/>
        <v>3163040</v>
      </c>
      <c r="K295" s="2">
        <f t="shared" si="73"/>
        <v>317930</v>
      </c>
      <c r="L295" s="2">
        <f t="shared" si="74"/>
        <v>3163040</v>
      </c>
      <c r="M295" s="2">
        <f t="shared" si="75"/>
        <v>3274870</v>
      </c>
      <c r="N295" s="2">
        <f t="shared" si="76"/>
        <v>1076560</v>
      </c>
      <c r="O295" s="2">
        <f t="shared" si="77"/>
        <v>1033340</v>
      </c>
      <c r="P295" s="2">
        <f t="shared" si="78"/>
        <v>724121.97253063694</v>
      </c>
      <c r="Q295" s="3">
        <f t="shared" si="79"/>
        <v>27410471346.849316</v>
      </c>
      <c r="R295" s="3">
        <f t="shared" si="80"/>
        <v>276930095.61643833</v>
      </c>
      <c r="S295" s="3">
        <f t="shared" si="81"/>
        <v>27410471346.849316</v>
      </c>
      <c r="T295" s="3">
        <f t="shared" si="82"/>
        <v>29382941142.19178</v>
      </c>
      <c r="U295" s="3">
        <f t="shared" si="83"/>
        <v>3175291598.9041095</v>
      </c>
      <c r="V295" s="3">
        <f t="shared" si="84"/>
        <v>2925456316.7123289</v>
      </c>
      <c r="W295" s="3">
        <f t="shared" si="85"/>
        <v>1436582550.9634535</v>
      </c>
      <c r="X295" s="3">
        <f t="shared" si="86"/>
        <v>524352631101.66052</v>
      </c>
      <c r="Y295" s="3">
        <f t="shared" si="87"/>
        <v>28345646973833.738</v>
      </c>
      <c r="AK295">
        <v>1.87744</v>
      </c>
      <c r="AL295">
        <v>1000000</v>
      </c>
      <c r="AM295">
        <f t="shared" si="88"/>
        <v>1877440</v>
      </c>
      <c r="AN295">
        <v>1.92066</v>
      </c>
      <c r="AO295">
        <v>1000000</v>
      </c>
      <c r="AP295">
        <f t="shared" si="89"/>
        <v>1920660</v>
      </c>
    </row>
    <row r="296" spans="1:42" x14ac:dyDescent="0.4">
      <c r="A296">
        <v>285</v>
      </c>
      <c r="B296" s="2">
        <v>4442350</v>
      </c>
      <c r="C296" s="2">
        <v>1185080</v>
      </c>
      <c r="D296" s="2">
        <f>IF(B296&lt;2500000,2500000,B296)</f>
        <v>4442350</v>
      </c>
      <c r="E296" s="2">
        <v>4455550</v>
      </c>
      <c r="F296" s="2">
        <v>1625740</v>
      </c>
      <c r="G296" s="2">
        <v>1696140</v>
      </c>
      <c r="H296" s="2">
        <v>3511389.4745673612</v>
      </c>
      <c r="I296" s="2">
        <f>29.19*(100000)</f>
        <v>2919000</v>
      </c>
      <c r="J296" s="2">
        <f t="shared" si="72"/>
        <v>1523350</v>
      </c>
      <c r="K296" s="2">
        <f t="shared" si="73"/>
        <v>1733920</v>
      </c>
      <c r="L296" s="2">
        <f t="shared" si="74"/>
        <v>1523350</v>
      </c>
      <c r="M296" s="2">
        <f t="shared" si="75"/>
        <v>1536550</v>
      </c>
      <c r="N296" s="2">
        <f t="shared" si="76"/>
        <v>1293260</v>
      </c>
      <c r="O296" s="2">
        <f t="shared" si="77"/>
        <v>1222860</v>
      </c>
      <c r="P296" s="2">
        <f t="shared" si="78"/>
        <v>592389.47456736118</v>
      </c>
      <c r="Q296" s="3">
        <f t="shared" si="79"/>
        <v>6357795130.1369867</v>
      </c>
      <c r="R296" s="3">
        <f t="shared" si="80"/>
        <v>8236927579.1780825</v>
      </c>
      <c r="S296" s="3">
        <f t="shared" si="81"/>
        <v>6357795130.1369867</v>
      </c>
      <c r="T296" s="3">
        <f t="shared" si="82"/>
        <v>6468454527.3972607</v>
      </c>
      <c r="U296" s="3">
        <f t="shared" si="83"/>
        <v>4582250486.5753422</v>
      </c>
      <c r="V296" s="3">
        <f t="shared" si="84"/>
        <v>4096949533.1506848</v>
      </c>
      <c r="W296" s="3">
        <f t="shared" si="85"/>
        <v>961439149.52929938</v>
      </c>
      <c r="X296" s="3">
        <f t="shared" si="86"/>
        <v>350925289578.19427</v>
      </c>
      <c r="Y296" s="3">
        <f t="shared" si="87"/>
        <v>28719556384792.645</v>
      </c>
      <c r="AK296">
        <v>1.62574</v>
      </c>
      <c r="AL296">
        <v>1000000</v>
      </c>
      <c r="AM296">
        <f t="shared" si="88"/>
        <v>1625740</v>
      </c>
      <c r="AN296">
        <v>1.69614</v>
      </c>
      <c r="AO296">
        <v>1000000</v>
      </c>
      <c r="AP296">
        <f t="shared" si="89"/>
        <v>1696140</v>
      </c>
    </row>
    <row r="297" spans="1:42" x14ac:dyDescent="0.4">
      <c r="A297">
        <v>286</v>
      </c>
      <c r="B297" s="2">
        <v>3028760</v>
      </c>
      <c r="C297" s="2">
        <v>548706</v>
      </c>
      <c r="D297" s="2">
        <f>IF(B297&lt;2500000,2500000,B297)</f>
        <v>3028760</v>
      </c>
      <c r="E297" s="2">
        <v>2975270</v>
      </c>
      <c r="F297" s="2">
        <v>1422020</v>
      </c>
      <c r="G297" s="2">
        <v>1512870</v>
      </c>
      <c r="H297" s="2">
        <v>3344880.5573058282</v>
      </c>
      <c r="I297" s="2">
        <f>28.96*(100000)</f>
        <v>2896000</v>
      </c>
      <c r="J297" s="2">
        <f t="shared" si="72"/>
        <v>132760</v>
      </c>
      <c r="K297" s="2">
        <f t="shared" si="73"/>
        <v>2347294</v>
      </c>
      <c r="L297" s="2">
        <f t="shared" si="74"/>
        <v>132760</v>
      </c>
      <c r="M297" s="2">
        <f t="shared" si="75"/>
        <v>79270</v>
      </c>
      <c r="N297" s="2">
        <f t="shared" si="76"/>
        <v>1473980</v>
      </c>
      <c r="O297" s="2">
        <f t="shared" si="77"/>
        <v>1383130</v>
      </c>
      <c r="P297" s="2">
        <f t="shared" si="78"/>
        <v>448880.5573058282</v>
      </c>
      <c r="Q297" s="3">
        <f t="shared" si="79"/>
        <v>48288267.397260271</v>
      </c>
      <c r="R297" s="3">
        <f t="shared" si="80"/>
        <v>15095312664.20822</v>
      </c>
      <c r="S297" s="3">
        <f t="shared" si="81"/>
        <v>48288267.397260271</v>
      </c>
      <c r="T297" s="3">
        <f t="shared" si="82"/>
        <v>17215706.575342465</v>
      </c>
      <c r="U297" s="3">
        <f t="shared" si="83"/>
        <v>5952375453.1506853</v>
      </c>
      <c r="V297" s="3">
        <f t="shared" si="84"/>
        <v>5241229032.6027393</v>
      </c>
      <c r="W297" s="3">
        <f t="shared" si="85"/>
        <v>552037684.18408465</v>
      </c>
      <c r="X297" s="3">
        <f t="shared" si="86"/>
        <v>201493754727.19092</v>
      </c>
      <c r="Y297" s="3">
        <f t="shared" si="87"/>
        <v>28966602283422.781</v>
      </c>
      <c r="AK297">
        <v>1.4220200000000001</v>
      </c>
      <c r="AL297">
        <v>1000000</v>
      </c>
      <c r="AM297">
        <f t="shared" si="88"/>
        <v>1422020</v>
      </c>
      <c r="AN297">
        <v>1.5128699999999999</v>
      </c>
      <c r="AO297">
        <v>1000000</v>
      </c>
      <c r="AP297">
        <f t="shared" si="89"/>
        <v>1512870</v>
      </c>
    </row>
    <row r="298" spans="1:42" x14ac:dyDescent="0.4">
      <c r="A298">
        <v>287</v>
      </c>
      <c r="B298" s="2">
        <v>2178270</v>
      </c>
      <c r="C298" s="2">
        <v>260784</v>
      </c>
      <c r="D298" s="2">
        <f>IF(B298&lt;2500000,2500000,B298)</f>
        <v>2500000</v>
      </c>
      <c r="E298" s="2">
        <v>2082120.0000000002</v>
      </c>
      <c r="F298" s="2">
        <v>1253150</v>
      </c>
      <c r="G298" s="2">
        <v>1358550</v>
      </c>
      <c r="H298" s="2">
        <v>3210794.5352075049</v>
      </c>
      <c r="I298" s="2">
        <f>28.89*(100000)</f>
        <v>2889000</v>
      </c>
      <c r="J298" s="2">
        <f t="shared" si="72"/>
        <v>710730</v>
      </c>
      <c r="K298" s="2">
        <f t="shared" si="73"/>
        <v>2628216</v>
      </c>
      <c r="L298" s="2">
        <f t="shared" si="74"/>
        <v>389000</v>
      </c>
      <c r="M298" s="2">
        <f t="shared" si="75"/>
        <v>806879.99999999977</v>
      </c>
      <c r="N298" s="2">
        <f t="shared" si="76"/>
        <v>1635850</v>
      </c>
      <c r="O298" s="2">
        <f t="shared" si="77"/>
        <v>1530450</v>
      </c>
      <c r="P298" s="2">
        <f t="shared" si="78"/>
        <v>321794.53520750487</v>
      </c>
      <c r="Q298" s="3">
        <f t="shared" si="79"/>
        <v>1383937350.410959</v>
      </c>
      <c r="R298" s="3">
        <f t="shared" si="80"/>
        <v>18924710527.824657</v>
      </c>
      <c r="S298" s="3">
        <f t="shared" si="81"/>
        <v>414578082.19178081</v>
      </c>
      <c r="T298" s="3">
        <f t="shared" si="82"/>
        <v>1783713244.9315059</v>
      </c>
      <c r="U298" s="3">
        <f t="shared" si="83"/>
        <v>7331521157.5342464</v>
      </c>
      <c r="V298" s="3">
        <f t="shared" si="84"/>
        <v>6417197815.0684929</v>
      </c>
      <c r="W298" s="3">
        <f t="shared" si="85"/>
        <v>283703350.3819564</v>
      </c>
      <c r="X298" s="3">
        <f t="shared" si="86"/>
        <v>103551722889.41409</v>
      </c>
      <c r="Y298" s="3">
        <f t="shared" si="87"/>
        <v>29042000165614.563</v>
      </c>
      <c r="AK298">
        <v>1.25315</v>
      </c>
      <c r="AL298">
        <v>1000000</v>
      </c>
      <c r="AM298">
        <f t="shared" si="88"/>
        <v>1253150</v>
      </c>
      <c r="AN298">
        <v>1.3585499999999999</v>
      </c>
      <c r="AO298">
        <v>1000000</v>
      </c>
      <c r="AP298">
        <f t="shared" si="89"/>
        <v>1358550</v>
      </c>
    </row>
    <row r="299" spans="1:42" x14ac:dyDescent="0.4">
      <c r="A299">
        <v>288</v>
      </c>
      <c r="B299" s="2">
        <v>1705750</v>
      </c>
      <c r="C299" s="2">
        <v>124906</v>
      </c>
      <c r="D299" s="2">
        <f>IF(B299&lt;2500000,2500000,B299)</f>
        <v>2500000</v>
      </c>
      <c r="E299" s="2">
        <v>1583290</v>
      </c>
      <c r="F299" s="2">
        <v>1103870</v>
      </c>
      <c r="G299" s="2">
        <v>1222120</v>
      </c>
      <c r="H299" s="2">
        <v>3098109.4676182941</v>
      </c>
      <c r="I299" s="2">
        <f>28.69*(100000)</f>
        <v>2869000</v>
      </c>
      <c r="J299" s="2">
        <f t="shared" si="72"/>
        <v>1163250</v>
      </c>
      <c r="K299" s="2">
        <f t="shared" si="73"/>
        <v>2744094</v>
      </c>
      <c r="L299" s="2">
        <f t="shared" si="74"/>
        <v>369000</v>
      </c>
      <c r="M299" s="2">
        <f t="shared" si="75"/>
        <v>1285710</v>
      </c>
      <c r="N299" s="2">
        <f t="shared" si="76"/>
        <v>1765130</v>
      </c>
      <c r="O299" s="2">
        <f t="shared" si="77"/>
        <v>1646880</v>
      </c>
      <c r="P299" s="2">
        <f t="shared" si="78"/>
        <v>229109.46761829406</v>
      </c>
      <c r="Q299" s="3">
        <f t="shared" si="79"/>
        <v>3707261815.0684934</v>
      </c>
      <c r="R299" s="3">
        <f t="shared" si="80"/>
        <v>20630279125.578083</v>
      </c>
      <c r="S299" s="3">
        <f t="shared" si="81"/>
        <v>373043835.61643833</v>
      </c>
      <c r="T299" s="3">
        <f t="shared" si="82"/>
        <v>4528904668.7671232</v>
      </c>
      <c r="U299" s="3">
        <f t="shared" si="83"/>
        <v>8536120320.2739725</v>
      </c>
      <c r="V299" s="3">
        <f t="shared" si="84"/>
        <v>7430722560</v>
      </c>
      <c r="W299" s="3">
        <f t="shared" si="85"/>
        <v>143811364.80092639</v>
      </c>
      <c r="X299" s="3">
        <f t="shared" si="86"/>
        <v>52491148152.338135</v>
      </c>
      <c r="Y299" s="3">
        <f t="shared" si="87"/>
        <v>29257962686162.508</v>
      </c>
      <c r="AK299">
        <v>1.1038699999999999</v>
      </c>
      <c r="AL299">
        <v>1000000</v>
      </c>
      <c r="AM299">
        <f t="shared" si="88"/>
        <v>1103870</v>
      </c>
      <c r="AN299">
        <v>1.2221200000000001</v>
      </c>
      <c r="AO299">
        <v>1000000</v>
      </c>
      <c r="AP299">
        <f t="shared" si="89"/>
        <v>1222120</v>
      </c>
    </row>
    <row r="300" spans="1:42" x14ac:dyDescent="0.4">
      <c r="A300">
        <v>289</v>
      </c>
      <c r="B300" s="2">
        <v>1381160</v>
      </c>
      <c r="C300" s="2">
        <v>60340.3</v>
      </c>
      <c r="D300" s="2">
        <f>IF(B300&lt;2500000,2500000,B300)</f>
        <v>2500000</v>
      </c>
      <c r="E300" s="2">
        <v>1244690</v>
      </c>
      <c r="F300" s="2">
        <v>972952</v>
      </c>
      <c r="G300" s="2">
        <v>1099550</v>
      </c>
      <c r="H300" s="2">
        <v>3001171.0013106042</v>
      </c>
      <c r="I300" s="2">
        <f>28.18*(100000)</f>
        <v>2818000</v>
      </c>
      <c r="J300" s="2">
        <f t="shared" si="72"/>
        <v>1436840</v>
      </c>
      <c r="K300" s="2">
        <f t="shared" si="73"/>
        <v>2757659.7</v>
      </c>
      <c r="L300" s="2">
        <f t="shared" si="74"/>
        <v>318000</v>
      </c>
      <c r="M300" s="2">
        <f t="shared" si="75"/>
        <v>1573310</v>
      </c>
      <c r="N300" s="2">
        <f t="shared" si="76"/>
        <v>1845048</v>
      </c>
      <c r="O300" s="2">
        <f t="shared" si="77"/>
        <v>1718450</v>
      </c>
      <c r="P300" s="2">
        <f t="shared" si="78"/>
        <v>183171.00131060416</v>
      </c>
      <c r="Q300" s="3">
        <f t="shared" si="79"/>
        <v>5656189549.5890408</v>
      </c>
      <c r="R300" s="3">
        <f t="shared" si="80"/>
        <v>20834758961.655045</v>
      </c>
      <c r="S300" s="3">
        <f t="shared" si="81"/>
        <v>277052054.79452056</v>
      </c>
      <c r="T300" s="3">
        <f t="shared" si="82"/>
        <v>6781655770.1369867</v>
      </c>
      <c r="U300" s="3">
        <f t="shared" si="83"/>
        <v>9326581156.997261</v>
      </c>
      <c r="V300" s="3">
        <f t="shared" si="84"/>
        <v>8090603842.4657536</v>
      </c>
      <c r="W300" s="3">
        <f t="shared" si="85"/>
        <v>91922234.852409169</v>
      </c>
      <c r="X300" s="3">
        <f t="shared" si="86"/>
        <v>33551615721.129349</v>
      </c>
      <c r="Y300" s="3">
        <f t="shared" si="87"/>
        <v>29812288113559.766</v>
      </c>
      <c r="AK300">
        <v>972952</v>
      </c>
      <c r="AM300">
        <f t="shared" si="88"/>
        <v>972952</v>
      </c>
      <c r="AN300">
        <v>1.09955</v>
      </c>
      <c r="AO300">
        <v>1000000</v>
      </c>
      <c r="AP300">
        <f t="shared" si="89"/>
        <v>1099550</v>
      </c>
    </row>
    <row r="301" spans="1:42" x14ac:dyDescent="0.4">
      <c r="A301">
        <v>290</v>
      </c>
      <c r="B301" s="2">
        <v>1132200</v>
      </c>
      <c r="C301" s="2">
        <v>29307.7</v>
      </c>
      <c r="D301" s="2">
        <f>IF(B301&lt;2500000,2500000,B301)</f>
        <v>2500000</v>
      </c>
      <c r="E301" s="2">
        <v>990636</v>
      </c>
      <c r="F301" s="2">
        <v>857833</v>
      </c>
      <c r="G301" s="2">
        <v>989624</v>
      </c>
      <c r="H301" s="2">
        <v>2915681.9929051171</v>
      </c>
      <c r="I301" s="2">
        <f>28.7*(100000)</f>
        <v>2870000</v>
      </c>
      <c r="J301" s="2">
        <f t="shared" si="72"/>
        <v>1737800</v>
      </c>
      <c r="K301" s="2">
        <f t="shared" si="73"/>
        <v>2840692.3</v>
      </c>
      <c r="L301" s="2">
        <f t="shared" si="74"/>
        <v>370000</v>
      </c>
      <c r="M301" s="2">
        <f t="shared" si="75"/>
        <v>1879364</v>
      </c>
      <c r="N301" s="2">
        <f t="shared" si="76"/>
        <v>2012167</v>
      </c>
      <c r="O301" s="2">
        <f t="shared" si="77"/>
        <v>1880376</v>
      </c>
      <c r="P301" s="2">
        <f t="shared" si="78"/>
        <v>45681.992905117106</v>
      </c>
      <c r="Q301" s="3">
        <f t="shared" si="79"/>
        <v>8273832438.356164</v>
      </c>
      <c r="R301" s="3">
        <f t="shared" si="80"/>
        <v>22108308885.696682</v>
      </c>
      <c r="S301" s="3">
        <f t="shared" si="81"/>
        <v>375068493.15068495</v>
      </c>
      <c r="T301" s="3">
        <f t="shared" si="82"/>
        <v>9676737108.2082195</v>
      </c>
      <c r="U301" s="3">
        <f t="shared" si="83"/>
        <v>11092646673.668493</v>
      </c>
      <c r="V301" s="3">
        <f t="shared" si="84"/>
        <v>9687161373.6328773</v>
      </c>
      <c r="W301" s="3">
        <f t="shared" si="85"/>
        <v>5717382.1254333407</v>
      </c>
      <c r="X301" s="3">
        <f t="shared" si="86"/>
        <v>2086844475.7831695</v>
      </c>
      <c r="Y301" s="3">
        <f t="shared" si="87"/>
        <v>29247145560135.109</v>
      </c>
      <c r="AK301">
        <v>857833</v>
      </c>
      <c r="AM301">
        <f t="shared" si="88"/>
        <v>857833</v>
      </c>
      <c r="AN301">
        <v>989624</v>
      </c>
      <c r="AP301">
        <f t="shared" si="89"/>
        <v>989624</v>
      </c>
    </row>
    <row r="302" spans="1:42" x14ac:dyDescent="0.4">
      <c r="A302">
        <v>291</v>
      </c>
      <c r="B302" s="2">
        <v>931197</v>
      </c>
      <c r="C302" s="2">
        <v>14283.1</v>
      </c>
      <c r="D302" s="2">
        <f>IF(B302&lt;2500000,2500000,B302)</f>
        <v>2500000</v>
      </c>
      <c r="E302" s="2">
        <v>790780</v>
      </c>
      <c r="F302" s="2">
        <v>755827</v>
      </c>
      <c r="G302" s="2">
        <v>890520</v>
      </c>
      <c r="H302" s="2">
        <v>2838480.1298864791</v>
      </c>
      <c r="I302" s="2">
        <f>29.45*(100000)</f>
        <v>2945000</v>
      </c>
      <c r="J302" s="2">
        <f t="shared" si="72"/>
        <v>2013803</v>
      </c>
      <c r="K302" s="2">
        <f t="shared" si="73"/>
        <v>2930716.9</v>
      </c>
      <c r="L302" s="2">
        <f t="shared" si="74"/>
        <v>445000</v>
      </c>
      <c r="M302" s="2">
        <f t="shared" si="75"/>
        <v>2154220</v>
      </c>
      <c r="N302" s="2">
        <f t="shared" si="76"/>
        <v>2189173</v>
      </c>
      <c r="O302" s="2">
        <f t="shared" si="77"/>
        <v>2054480</v>
      </c>
      <c r="P302" s="2">
        <f t="shared" si="78"/>
        <v>106519.87011352088</v>
      </c>
      <c r="Q302" s="3">
        <f t="shared" si="79"/>
        <v>11110691843.312328</v>
      </c>
      <c r="R302" s="3">
        <f t="shared" si="80"/>
        <v>23531785062.864685</v>
      </c>
      <c r="S302" s="3">
        <f t="shared" si="81"/>
        <v>542534246.57534242</v>
      </c>
      <c r="T302" s="3">
        <f t="shared" si="82"/>
        <v>12714147420.273973</v>
      </c>
      <c r="U302" s="3">
        <f t="shared" si="83"/>
        <v>13130077873.778082</v>
      </c>
      <c r="V302" s="3">
        <f t="shared" si="84"/>
        <v>11564076905.205479</v>
      </c>
      <c r="W302" s="3">
        <f t="shared" si="85"/>
        <v>31086254.052058522</v>
      </c>
      <c r="X302" s="3">
        <f t="shared" si="86"/>
        <v>11346482729.00136</v>
      </c>
      <c r="Y302" s="3">
        <f t="shared" si="87"/>
        <v>28441561108080.313</v>
      </c>
      <c r="AK302">
        <v>755827</v>
      </c>
      <c r="AM302">
        <f t="shared" si="88"/>
        <v>755827</v>
      </c>
      <c r="AN302">
        <v>890520</v>
      </c>
      <c r="AP302">
        <f t="shared" si="89"/>
        <v>890520</v>
      </c>
    </row>
    <row r="303" spans="1:42" x14ac:dyDescent="0.4">
      <c r="A303">
        <v>292</v>
      </c>
      <c r="B303" s="2">
        <v>766042</v>
      </c>
      <c r="C303" s="2">
        <v>6975.39</v>
      </c>
      <c r="D303" s="2">
        <f>IF(B303&lt;2500000,2500000,B303)</f>
        <v>2500000</v>
      </c>
      <c r="E303" s="2">
        <v>631850</v>
      </c>
      <c r="F303" s="2">
        <v>665842</v>
      </c>
      <c r="G303" s="2">
        <v>801210</v>
      </c>
      <c r="H303" s="2">
        <v>2767602.2525514448</v>
      </c>
      <c r="I303" s="2">
        <f>31.58*(100000)</f>
        <v>3158000</v>
      </c>
      <c r="J303" s="2">
        <f t="shared" si="72"/>
        <v>2391958</v>
      </c>
      <c r="K303" s="2">
        <f t="shared" si="73"/>
        <v>3151024.61</v>
      </c>
      <c r="L303" s="2">
        <f t="shared" si="74"/>
        <v>658000</v>
      </c>
      <c r="M303" s="2">
        <f t="shared" si="75"/>
        <v>2526150</v>
      </c>
      <c r="N303" s="2">
        <f t="shared" si="76"/>
        <v>2492158</v>
      </c>
      <c r="O303" s="2">
        <f t="shared" si="77"/>
        <v>2356790</v>
      </c>
      <c r="P303" s="2">
        <f t="shared" si="78"/>
        <v>390397.74744855519</v>
      </c>
      <c r="Q303" s="3">
        <f t="shared" si="79"/>
        <v>15675241297.983562</v>
      </c>
      <c r="R303" s="3">
        <f t="shared" si="80"/>
        <v>27202619432.399044</v>
      </c>
      <c r="S303" s="3">
        <f t="shared" si="81"/>
        <v>1186202739.7260275</v>
      </c>
      <c r="T303" s="3">
        <f t="shared" si="82"/>
        <v>17483380335.61644</v>
      </c>
      <c r="U303" s="3">
        <f t="shared" si="83"/>
        <v>17016031498.531507</v>
      </c>
      <c r="V303" s="3">
        <f t="shared" si="84"/>
        <v>15217696175.616438</v>
      </c>
      <c r="W303" s="3">
        <f t="shared" si="85"/>
        <v>417562743.04905725</v>
      </c>
      <c r="X303" s="3">
        <f t="shared" si="86"/>
        <v>152410401212.90588</v>
      </c>
      <c r="Y303" s="3">
        <f t="shared" si="87"/>
        <v>26215045264244.699</v>
      </c>
      <c r="AK303">
        <v>665842</v>
      </c>
      <c r="AM303">
        <f t="shared" si="88"/>
        <v>665842</v>
      </c>
      <c r="AN303">
        <v>801210</v>
      </c>
      <c r="AP303">
        <f t="shared" si="89"/>
        <v>801210</v>
      </c>
    </row>
    <row r="304" spans="1:42" x14ac:dyDescent="0.4">
      <c r="A304">
        <v>293</v>
      </c>
      <c r="B304" s="2">
        <v>941673</v>
      </c>
      <c r="C304" s="2">
        <v>1492180</v>
      </c>
      <c r="D304" s="2">
        <f>IF(B304&lt;2500000,2500000,B304)</f>
        <v>2500000</v>
      </c>
      <c r="E304" s="2">
        <v>841856</v>
      </c>
      <c r="F304" s="2">
        <v>698966</v>
      </c>
      <c r="G304" s="2">
        <v>796262</v>
      </c>
      <c r="H304" s="2">
        <v>2799675.984344915</v>
      </c>
      <c r="I304" s="2">
        <f>30.02*(100000)</f>
        <v>3002000</v>
      </c>
      <c r="J304" s="2">
        <f t="shared" si="72"/>
        <v>2060327</v>
      </c>
      <c r="K304" s="2">
        <f t="shared" si="73"/>
        <v>1509820</v>
      </c>
      <c r="L304" s="2">
        <f t="shared" si="74"/>
        <v>502000</v>
      </c>
      <c r="M304" s="2">
        <f t="shared" si="75"/>
        <v>2160144</v>
      </c>
      <c r="N304" s="2">
        <f t="shared" si="76"/>
        <v>2303034</v>
      </c>
      <c r="O304" s="2">
        <f t="shared" si="77"/>
        <v>2205738</v>
      </c>
      <c r="P304" s="2">
        <f t="shared" si="78"/>
        <v>202324.01565508498</v>
      </c>
      <c r="Q304" s="3">
        <f t="shared" si="79"/>
        <v>11629992731.312328</v>
      </c>
      <c r="R304" s="3">
        <f t="shared" si="80"/>
        <v>6245360088.7671232</v>
      </c>
      <c r="S304" s="3">
        <f t="shared" si="81"/>
        <v>690421917.80821919</v>
      </c>
      <c r="T304" s="3">
        <f t="shared" si="82"/>
        <v>12784170139.002739</v>
      </c>
      <c r="U304" s="3">
        <f t="shared" si="83"/>
        <v>14531412616.865753</v>
      </c>
      <c r="V304" s="3">
        <f t="shared" si="84"/>
        <v>13329534588.065754</v>
      </c>
      <c r="W304" s="3">
        <f t="shared" si="85"/>
        <v>112150704.96109335</v>
      </c>
      <c r="X304" s="3">
        <f t="shared" si="86"/>
        <v>40935007310.799072</v>
      </c>
      <c r="Y304" s="3">
        <f t="shared" si="87"/>
        <v>27836840924518.672</v>
      </c>
      <c r="AK304">
        <v>698966</v>
      </c>
      <c r="AM304">
        <f t="shared" si="88"/>
        <v>698966</v>
      </c>
      <c r="AN304">
        <v>796262</v>
      </c>
      <c r="AP304">
        <f t="shared" si="89"/>
        <v>796262</v>
      </c>
    </row>
    <row r="305" spans="1:42" x14ac:dyDescent="0.4">
      <c r="A305">
        <v>294</v>
      </c>
      <c r="B305" s="2">
        <v>855260</v>
      </c>
      <c r="C305" s="2">
        <v>445221</v>
      </c>
      <c r="D305" s="2">
        <f>IF(B305&lt;2500000,2500000,B305)</f>
        <v>2500000</v>
      </c>
      <c r="E305" s="2">
        <v>759047</v>
      </c>
      <c r="F305" s="2">
        <v>603784</v>
      </c>
      <c r="G305" s="2">
        <v>728814</v>
      </c>
      <c r="H305" s="2">
        <v>2664540.321437086</v>
      </c>
      <c r="I305" s="2">
        <f>29.29*(100000)</f>
        <v>2929000</v>
      </c>
      <c r="J305" s="2">
        <f t="shared" si="72"/>
        <v>2073740</v>
      </c>
      <c r="K305" s="2">
        <f t="shared" si="73"/>
        <v>2483779</v>
      </c>
      <c r="L305" s="2">
        <f t="shared" si="74"/>
        <v>429000</v>
      </c>
      <c r="M305" s="2">
        <f t="shared" si="75"/>
        <v>2169953</v>
      </c>
      <c r="N305" s="2">
        <f t="shared" si="76"/>
        <v>2325216</v>
      </c>
      <c r="O305" s="2">
        <f t="shared" si="77"/>
        <v>2200186</v>
      </c>
      <c r="P305" s="2">
        <f t="shared" si="78"/>
        <v>264459.67856291402</v>
      </c>
      <c r="Q305" s="3">
        <f t="shared" si="79"/>
        <v>11781911198.90411</v>
      </c>
      <c r="R305" s="3">
        <f t="shared" si="80"/>
        <v>16901803070.79726</v>
      </c>
      <c r="S305" s="3">
        <f t="shared" si="81"/>
        <v>504221917.80821919</v>
      </c>
      <c r="T305" s="3">
        <f t="shared" si="82"/>
        <v>12900537047.147945</v>
      </c>
      <c r="U305" s="3">
        <f t="shared" si="83"/>
        <v>14812683415.49589</v>
      </c>
      <c r="V305" s="3">
        <f t="shared" si="84"/>
        <v>13262516259.167124</v>
      </c>
      <c r="W305" s="3">
        <f t="shared" si="85"/>
        <v>191613483.79616386</v>
      </c>
      <c r="X305" s="3">
        <f t="shared" si="86"/>
        <v>69938921585.599808</v>
      </c>
      <c r="Y305" s="3">
        <f t="shared" si="87"/>
        <v>28612475124518.672</v>
      </c>
      <c r="AK305">
        <v>603784</v>
      </c>
      <c r="AM305">
        <f t="shared" si="88"/>
        <v>603784</v>
      </c>
      <c r="AN305">
        <v>728814</v>
      </c>
      <c r="AP305">
        <f t="shared" si="89"/>
        <v>728814</v>
      </c>
    </row>
    <row r="306" spans="1:42" x14ac:dyDescent="0.4">
      <c r="A306">
        <v>295</v>
      </c>
      <c r="B306" s="2">
        <v>628421</v>
      </c>
      <c r="C306" s="2">
        <v>190807</v>
      </c>
      <c r="D306" s="2">
        <f>IF(B306&lt;2500000,2500000,B306)</f>
        <v>2500000</v>
      </c>
      <c r="E306" s="2">
        <v>535241</v>
      </c>
      <c r="F306" s="2">
        <v>528181</v>
      </c>
      <c r="G306" s="2">
        <v>652420</v>
      </c>
      <c r="H306" s="2">
        <v>2609055.800211275</v>
      </c>
      <c r="I306" s="2">
        <f>29.35*(100000)</f>
        <v>2935000</v>
      </c>
      <c r="J306" s="2">
        <f t="shared" si="72"/>
        <v>2306579</v>
      </c>
      <c r="K306" s="2">
        <f t="shared" si="73"/>
        <v>2744193</v>
      </c>
      <c r="L306" s="2">
        <f t="shared" si="74"/>
        <v>435000</v>
      </c>
      <c r="M306" s="2">
        <f t="shared" si="75"/>
        <v>2399759</v>
      </c>
      <c r="N306" s="2">
        <f t="shared" si="76"/>
        <v>2406819</v>
      </c>
      <c r="O306" s="2">
        <f t="shared" si="77"/>
        <v>2282580</v>
      </c>
      <c r="P306" s="2">
        <f t="shared" si="78"/>
        <v>325944.199788725</v>
      </c>
      <c r="Q306" s="3">
        <f t="shared" si="79"/>
        <v>14576182693.810959</v>
      </c>
      <c r="R306" s="3">
        <f t="shared" si="80"/>
        <v>20631767729.449314</v>
      </c>
      <c r="S306" s="3">
        <f t="shared" si="81"/>
        <v>518424657.53424656</v>
      </c>
      <c r="T306" s="3">
        <f t="shared" si="82"/>
        <v>15777652761.865753</v>
      </c>
      <c r="U306" s="3">
        <f t="shared" si="83"/>
        <v>15870623832.221918</v>
      </c>
      <c r="V306" s="3">
        <f t="shared" si="84"/>
        <v>14274442346.301371</v>
      </c>
      <c r="W306" s="3">
        <f t="shared" si="85"/>
        <v>291067455.82441717</v>
      </c>
      <c r="X306" s="3">
        <f t="shared" si="86"/>
        <v>106239621375.91228</v>
      </c>
      <c r="Y306" s="3">
        <f t="shared" si="87"/>
        <v>28548322368354.285</v>
      </c>
      <c r="AK306">
        <v>528181</v>
      </c>
      <c r="AM306">
        <f t="shared" si="88"/>
        <v>528181</v>
      </c>
      <c r="AN306">
        <v>652420</v>
      </c>
      <c r="AP306">
        <f t="shared" si="89"/>
        <v>652420</v>
      </c>
    </row>
    <row r="307" spans="1:42" x14ac:dyDescent="0.4">
      <c r="A307">
        <v>296</v>
      </c>
      <c r="B307" s="2">
        <v>494013</v>
      </c>
      <c r="C307" s="2">
        <v>85290</v>
      </c>
      <c r="D307" s="2">
        <f>IF(B307&lt;2500000,2500000,B307)</f>
        <v>2500000</v>
      </c>
      <c r="E307" s="2">
        <v>406594</v>
      </c>
      <c r="F307" s="2">
        <v>462593</v>
      </c>
      <c r="G307" s="2">
        <v>584630</v>
      </c>
      <c r="H307" s="2">
        <v>2551183.507952455</v>
      </c>
      <c r="I307" s="2">
        <f>30.75*(100000)</f>
        <v>3075000</v>
      </c>
      <c r="J307" s="2">
        <f t="shared" si="72"/>
        <v>2580987</v>
      </c>
      <c r="K307" s="2">
        <f t="shared" si="73"/>
        <v>2989710</v>
      </c>
      <c r="L307" s="2">
        <f t="shared" si="74"/>
        <v>575000</v>
      </c>
      <c r="M307" s="2">
        <f t="shared" si="75"/>
        <v>2668406</v>
      </c>
      <c r="N307" s="2">
        <f t="shared" si="76"/>
        <v>2612407</v>
      </c>
      <c r="O307" s="2">
        <f t="shared" si="77"/>
        <v>2490370</v>
      </c>
      <c r="P307" s="2">
        <f t="shared" si="78"/>
        <v>523816.49204754503</v>
      </c>
      <c r="Q307" s="3">
        <f t="shared" si="79"/>
        <v>18250668203.20274</v>
      </c>
      <c r="R307" s="3">
        <f t="shared" si="80"/>
        <v>24488673655.068493</v>
      </c>
      <c r="S307" s="3">
        <f t="shared" si="81"/>
        <v>905821917.80821919</v>
      </c>
      <c r="T307" s="3">
        <f t="shared" si="82"/>
        <v>19507919399.550686</v>
      </c>
      <c r="U307" s="3">
        <f t="shared" si="83"/>
        <v>18697726941.504108</v>
      </c>
      <c r="V307" s="3">
        <f t="shared" si="84"/>
        <v>16991623936.712328</v>
      </c>
      <c r="W307" s="3">
        <f t="shared" si="85"/>
        <v>751736211.89313924</v>
      </c>
      <c r="X307" s="3">
        <f t="shared" si="86"/>
        <v>274383717340.99582</v>
      </c>
      <c r="Y307" s="3">
        <f t="shared" si="87"/>
        <v>27071864724518.672</v>
      </c>
      <c r="AK307">
        <v>462593</v>
      </c>
      <c r="AM307">
        <f t="shared" si="88"/>
        <v>462593</v>
      </c>
      <c r="AN307">
        <v>584630</v>
      </c>
      <c r="AP307">
        <f t="shared" si="89"/>
        <v>584630</v>
      </c>
    </row>
    <row r="308" spans="1:42" x14ac:dyDescent="0.4">
      <c r="A308">
        <v>297</v>
      </c>
      <c r="B308" s="2">
        <v>399314</v>
      </c>
      <c r="C308" s="2">
        <v>39330.5</v>
      </c>
      <c r="D308" s="2">
        <f>IF(B308&lt;2500000,2500000,B308)</f>
        <v>2500000</v>
      </c>
      <c r="E308" s="2">
        <v>318796</v>
      </c>
      <c r="F308" s="2">
        <v>406572</v>
      </c>
      <c r="G308" s="2">
        <v>524933</v>
      </c>
      <c r="H308" s="2">
        <v>2500000</v>
      </c>
      <c r="I308" s="2">
        <f>29.52*(100000)</f>
        <v>2952000</v>
      </c>
      <c r="J308" s="2">
        <f t="shared" si="72"/>
        <v>2552686</v>
      </c>
      <c r="K308" s="2">
        <f t="shared" si="73"/>
        <v>2912669.5</v>
      </c>
      <c r="L308" s="2">
        <f t="shared" si="74"/>
        <v>452000</v>
      </c>
      <c r="M308" s="2">
        <f t="shared" si="75"/>
        <v>2633204</v>
      </c>
      <c r="N308" s="2">
        <f t="shared" si="76"/>
        <v>2545428</v>
      </c>
      <c r="O308" s="2">
        <f t="shared" si="77"/>
        <v>2427067</v>
      </c>
      <c r="P308" s="2">
        <f t="shared" si="78"/>
        <v>452000</v>
      </c>
      <c r="Q308" s="3">
        <f t="shared" si="79"/>
        <v>17852618670.126026</v>
      </c>
      <c r="R308" s="3">
        <f t="shared" si="80"/>
        <v>23242859222.54863</v>
      </c>
      <c r="S308" s="3">
        <f t="shared" si="81"/>
        <v>559736986.30136991</v>
      </c>
      <c r="T308" s="3">
        <f t="shared" si="82"/>
        <v>18996611796.208218</v>
      </c>
      <c r="U308" s="3">
        <f t="shared" si="83"/>
        <v>17751243022.421917</v>
      </c>
      <c r="V308" s="3">
        <f t="shared" si="84"/>
        <v>16138778691.750685</v>
      </c>
      <c r="W308" s="3">
        <f t="shared" si="85"/>
        <v>559736986.30136991</v>
      </c>
      <c r="X308" s="3">
        <f t="shared" si="86"/>
        <v>204304000000</v>
      </c>
      <c r="Y308" s="3">
        <f t="shared" si="87"/>
        <v>28366947225888.535</v>
      </c>
      <c r="AK308">
        <v>406572</v>
      </c>
      <c r="AM308">
        <f t="shared" si="88"/>
        <v>406572</v>
      </c>
      <c r="AN308">
        <v>524933</v>
      </c>
      <c r="AP308">
        <f t="shared" si="89"/>
        <v>524933</v>
      </c>
    </row>
    <row r="309" spans="1:42" x14ac:dyDescent="0.4">
      <c r="A309">
        <v>298</v>
      </c>
      <c r="B309" s="2">
        <v>326207</v>
      </c>
      <c r="C309" s="2">
        <v>18533.400000000001</v>
      </c>
      <c r="D309" s="2">
        <f>IF(B309&lt;2500000,2500000,B309)</f>
        <v>2500000</v>
      </c>
      <c r="E309" s="2">
        <v>253093</v>
      </c>
      <c r="F309" s="2">
        <v>356611</v>
      </c>
      <c r="G309" s="2">
        <v>470602</v>
      </c>
      <c r="H309" s="2">
        <v>2500000</v>
      </c>
      <c r="I309" s="2">
        <f>28.22*(100000)</f>
        <v>2822000</v>
      </c>
      <c r="J309" s="2">
        <f t="shared" si="72"/>
        <v>2495793</v>
      </c>
      <c r="K309" s="2">
        <f t="shared" si="73"/>
        <v>2803466.6</v>
      </c>
      <c r="L309" s="2">
        <f t="shared" si="74"/>
        <v>322000</v>
      </c>
      <c r="M309" s="2">
        <f t="shared" si="75"/>
        <v>2568907</v>
      </c>
      <c r="N309" s="2">
        <f t="shared" si="76"/>
        <v>2465389</v>
      </c>
      <c r="O309" s="2">
        <f t="shared" si="77"/>
        <v>2351398</v>
      </c>
      <c r="P309" s="2">
        <f t="shared" si="78"/>
        <v>322000</v>
      </c>
      <c r="Q309" s="3">
        <f t="shared" si="79"/>
        <v>17065706024.243835</v>
      </c>
      <c r="R309" s="3">
        <f t="shared" si="80"/>
        <v>21532671170.727562</v>
      </c>
      <c r="S309" s="3">
        <f t="shared" si="81"/>
        <v>284065753.42465752</v>
      </c>
      <c r="T309" s="3">
        <f t="shared" si="82"/>
        <v>18080227875.750687</v>
      </c>
      <c r="U309" s="3">
        <f t="shared" si="83"/>
        <v>16652446359.783562</v>
      </c>
      <c r="V309" s="3">
        <f t="shared" si="84"/>
        <v>15148143984.668493</v>
      </c>
      <c r="W309" s="3">
        <f t="shared" si="85"/>
        <v>284065753.42465752</v>
      </c>
      <c r="X309" s="3">
        <f t="shared" si="86"/>
        <v>103684000000</v>
      </c>
      <c r="Y309" s="3">
        <f t="shared" si="87"/>
        <v>29768623609450.176</v>
      </c>
      <c r="AK309">
        <v>356611</v>
      </c>
      <c r="AM309">
        <f t="shared" si="88"/>
        <v>356611</v>
      </c>
      <c r="AN309">
        <v>470602</v>
      </c>
      <c r="AP309">
        <f t="shared" si="89"/>
        <v>470602</v>
      </c>
    </row>
    <row r="310" spans="1:42" x14ac:dyDescent="0.4">
      <c r="A310">
        <v>299</v>
      </c>
      <c r="B310" s="2">
        <v>267533</v>
      </c>
      <c r="C310" s="2">
        <v>8859.84</v>
      </c>
      <c r="D310" s="2">
        <f>IF(B310&lt;2500000,2500000,B310)</f>
        <v>2500000</v>
      </c>
      <c r="E310" s="2">
        <v>201891</v>
      </c>
      <c r="F310" s="2">
        <v>312917</v>
      </c>
      <c r="G310" s="2">
        <v>421382</v>
      </c>
      <c r="H310" s="2">
        <v>2500000</v>
      </c>
      <c r="I310" s="2">
        <f>29.07*(100000)</f>
        <v>2907000</v>
      </c>
      <c r="J310" s="2">
        <f t="shared" si="72"/>
        <v>2639467</v>
      </c>
      <c r="K310" s="2">
        <f t="shared" si="73"/>
        <v>2898140.16</v>
      </c>
      <c r="L310" s="2">
        <f t="shared" si="74"/>
        <v>407000</v>
      </c>
      <c r="M310" s="2">
        <f t="shared" si="75"/>
        <v>2705109</v>
      </c>
      <c r="N310" s="2">
        <f t="shared" si="76"/>
        <v>2594083</v>
      </c>
      <c r="O310" s="2">
        <f t="shared" si="77"/>
        <v>2485618</v>
      </c>
      <c r="P310" s="2">
        <f t="shared" si="78"/>
        <v>407000</v>
      </c>
      <c r="Q310" s="3">
        <f t="shared" si="79"/>
        <v>19087085052.29863</v>
      </c>
      <c r="R310" s="3">
        <f t="shared" si="80"/>
        <v>23011551745.2187</v>
      </c>
      <c r="S310" s="3">
        <f t="shared" si="81"/>
        <v>453832876.71232879</v>
      </c>
      <c r="T310" s="3">
        <f t="shared" si="82"/>
        <v>20048259457.208218</v>
      </c>
      <c r="U310" s="3">
        <f t="shared" si="83"/>
        <v>18436346879.147945</v>
      </c>
      <c r="V310" s="3">
        <f t="shared" si="84"/>
        <v>16926840662.805479</v>
      </c>
      <c r="W310" s="3">
        <f t="shared" si="85"/>
        <v>453832876.71232879</v>
      </c>
      <c r="X310" s="3">
        <f t="shared" si="86"/>
        <v>165649000000</v>
      </c>
      <c r="Y310" s="3">
        <f t="shared" si="87"/>
        <v>28848317897121.41</v>
      </c>
      <c r="AK310">
        <v>312917</v>
      </c>
      <c r="AM310">
        <f t="shared" si="88"/>
        <v>312917</v>
      </c>
      <c r="AN310">
        <v>421382</v>
      </c>
      <c r="AP310">
        <f t="shared" si="89"/>
        <v>421382</v>
      </c>
    </row>
    <row r="311" spans="1:42" x14ac:dyDescent="0.4">
      <c r="A311">
        <v>300</v>
      </c>
      <c r="B311" s="2">
        <v>836057</v>
      </c>
      <c r="C311" s="2">
        <v>2981810</v>
      </c>
      <c r="D311" s="2">
        <f>IF(B311&lt;2500000,2500000,B311)</f>
        <v>2500000</v>
      </c>
      <c r="E311" s="2">
        <v>828662</v>
      </c>
      <c r="F311" s="2">
        <v>492144</v>
      </c>
      <c r="G311" s="2">
        <v>524501</v>
      </c>
      <c r="H311" s="2">
        <v>2617640.2084259512</v>
      </c>
      <c r="I311" s="2">
        <f>29.57*(100000)</f>
        <v>2957000</v>
      </c>
      <c r="J311" s="2">
        <f t="shared" si="72"/>
        <v>2120943</v>
      </c>
      <c r="K311" s="2">
        <f t="shared" si="73"/>
        <v>24810</v>
      </c>
      <c r="L311" s="2">
        <f t="shared" si="74"/>
        <v>457000</v>
      </c>
      <c r="M311" s="2">
        <f t="shared" si="75"/>
        <v>2128338</v>
      </c>
      <c r="N311" s="2">
        <f t="shared" si="76"/>
        <v>2464856</v>
      </c>
      <c r="O311" s="2">
        <f t="shared" si="77"/>
        <v>2432499</v>
      </c>
      <c r="P311" s="2">
        <f t="shared" si="78"/>
        <v>339359.79157404881</v>
      </c>
      <c r="Q311" s="3">
        <f t="shared" si="79"/>
        <v>12324381395.20274</v>
      </c>
      <c r="R311" s="3">
        <f t="shared" si="80"/>
        <v>1686400.2739726028</v>
      </c>
      <c r="S311" s="3">
        <f t="shared" si="81"/>
        <v>572189041.0958904</v>
      </c>
      <c r="T311" s="3">
        <f t="shared" si="82"/>
        <v>12410472992.449314</v>
      </c>
      <c r="U311" s="3">
        <f t="shared" si="83"/>
        <v>16645246851.331507</v>
      </c>
      <c r="V311" s="3">
        <f t="shared" si="84"/>
        <v>16211099684.934246</v>
      </c>
      <c r="W311" s="3">
        <f t="shared" si="85"/>
        <v>315520734.62241602</v>
      </c>
      <c r="X311" s="3">
        <f t="shared" si="86"/>
        <v>115165068137.18185</v>
      </c>
      <c r="Y311" s="3">
        <f t="shared" si="87"/>
        <v>28313711595751.547</v>
      </c>
      <c r="AK311">
        <v>492144</v>
      </c>
      <c r="AM311">
        <f t="shared" si="88"/>
        <v>492144</v>
      </c>
      <c r="AN311">
        <v>524501</v>
      </c>
      <c r="AP311">
        <f t="shared" si="89"/>
        <v>524501</v>
      </c>
    </row>
    <row r="312" spans="1:42" x14ac:dyDescent="0.4">
      <c r="A312">
        <v>301</v>
      </c>
      <c r="B312" s="2">
        <v>843728</v>
      </c>
      <c r="C312" s="2">
        <v>5341280</v>
      </c>
      <c r="D312" s="2">
        <f>IF(B312&lt;2500000,2500000,B312)</f>
        <v>2500000</v>
      </c>
      <c r="E312" s="2">
        <v>831305</v>
      </c>
      <c r="F312" s="2">
        <v>407850</v>
      </c>
      <c r="G312" s="2">
        <v>493419</v>
      </c>
      <c r="H312" s="2">
        <v>2500000</v>
      </c>
      <c r="I312" s="2">
        <f>30.48*(100000)</f>
        <v>3048000</v>
      </c>
      <c r="J312" s="2">
        <f t="shared" si="72"/>
        <v>2204272</v>
      </c>
      <c r="K312" s="2">
        <f t="shared" si="73"/>
        <v>2293280</v>
      </c>
      <c r="L312" s="2">
        <f t="shared" si="74"/>
        <v>548000</v>
      </c>
      <c r="M312" s="2">
        <f t="shared" si="75"/>
        <v>2216695</v>
      </c>
      <c r="N312" s="2">
        <f t="shared" si="76"/>
        <v>2640150</v>
      </c>
      <c r="O312" s="2">
        <f t="shared" si="77"/>
        <v>2554581</v>
      </c>
      <c r="P312" s="2">
        <f t="shared" si="78"/>
        <v>548000</v>
      </c>
      <c r="Q312" s="3">
        <f t="shared" si="79"/>
        <v>13311822054.750685</v>
      </c>
      <c r="R312" s="3">
        <f t="shared" si="80"/>
        <v>14408583995.616438</v>
      </c>
      <c r="S312" s="3">
        <f t="shared" si="81"/>
        <v>822750684.93150687</v>
      </c>
      <c r="T312" s="3">
        <f t="shared" si="82"/>
        <v>13462292391.849316</v>
      </c>
      <c r="U312" s="3">
        <f t="shared" si="83"/>
        <v>19096964445.205479</v>
      </c>
      <c r="V312" s="3">
        <f t="shared" si="84"/>
        <v>17879134480.98904</v>
      </c>
      <c r="W312" s="3">
        <f t="shared" si="85"/>
        <v>822750684.93150687</v>
      </c>
      <c r="X312" s="3">
        <f t="shared" si="86"/>
        <v>300304000000</v>
      </c>
      <c r="Y312" s="3">
        <f t="shared" si="87"/>
        <v>27353559127258.395</v>
      </c>
      <c r="AK312">
        <v>407850</v>
      </c>
      <c r="AM312">
        <f t="shared" si="88"/>
        <v>407850</v>
      </c>
      <c r="AN312">
        <v>493419</v>
      </c>
      <c r="AP312">
        <f t="shared" si="89"/>
        <v>493419</v>
      </c>
    </row>
    <row r="313" spans="1:42" x14ac:dyDescent="0.4">
      <c r="A313">
        <v>302</v>
      </c>
      <c r="B313" s="2">
        <v>543433</v>
      </c>
      <c r="C313" s="2">
        <v>380990</v>
      </c>
      <c r="D313" s="2">
        <f>IF(B313&lt;2500000,2500000,B313)</f>
        <v>2500000</v>
      </c>
      <c r="E313" s="2">
        <v>521077</v>
      </c>
      <c r="F313" s="2">
        <v>353131</v>
      </c>
      <c r="G313" s="2">
        <v>437534</v>
      </c>
      <c r="H313" s="2">
        <v>2500000</v>
      </c>
      <c r="I313" s="2">
        <f>28.94*(100000)</f>
        <v>2894000</v>
      </c>
      <c r="J313" s="2">
        <f t="shared" si="72"/>
        <v>2350567</v>
      </c>
      <c r="K313" s="2">
        <f t="shared" si="73"/>
        <v>2513010</v>
      </c>
      <c r="L313" s="2">
        <f t="shared" si="74"/>
        <v>394000</v>
      </c>
      <c r="M313" s="2">
        <f t="shared" si="75"/>
        <v>2372923</v>
      </c>
      <c r="N313" s="2">
        <f t="shared" si="76"/>
        <v>2540869</v>
      </c>
      <c r="O313" s="2">
        <f t="shared" si="77"/>
        <v>2456466</v>
      </c>
      <c r="P313" s="2">
        <f t="shared" si="78"/>
        <v>394000</v>
      </c>
      <c r="Q313" s="3">
        <f t="shared" si="79"/>
        <v>15137438962.983562</v>
      </c>
      <c r="R313" s="3">
        <f t="shared" si="80"/>
        <v>17301970575.61644</v>
      </c>
      <c r="S313" s="3">
        <f t="shared" si="81"/>
        <v>425304109.58904111</v>
      </c>
      <c r="T313" s="3">
        <f t="shared" si="82"/>
        <v>15426749490.216438</v>
      </c>
      <c r="U313" s="3">
        <f t="shared" si="83"/>
        <v>17687713082.632877</v>
      </c>
      <c r="V313" s="3">
        <f t="shared" si="84"/>
        <v>16532123860.70137</v>
      </c>
      <c r="W313" s="3">
        <f t="shared" si="85"/>
        <v>425304109.58904111</v>
      </c>
      <c r="X313" s="3">
        <f t="shared" si="86"/>
        <v>155236000000</v>
      </c>
      <c r="Y313" s="3">
        <f t="shared" si="87"/>
        <v>28988134535477.574</v>
      </c>
      <c r="AK313">
        <v>353131</v>
      </c>
      <c r="AM313">
        <f t="shared" si="88"/>
        <v>353131</v>
      </c>
      <c r="AN313">
        <v>437534</v>
      </c>
      <c r="AP313">
        <f t="shared" si="89"/>
        <v>437534</v>
      </c>
    </row>
    <row r="314" spans="1:42" x14ac:dyDescent="0.4">
      <c r="A314">
        <v>303</v>
      </c>
      <c r="B314" s="2">
        <v>401669</v>
      </c>
      <c r="C314" s="2">
        <v>170273</v>
      </c>
      <c r="D314" s="2">
        <f>IF(B314&lt;2500000,2500000,B314)</f>
        <v>2500000</v>
      </c>
      <c r="E314" s="2">
        <v>373672</v>
      </c>
      <c r="F314" s="2">
        <v>307279</v>
      </c>
      <c r="G314" s="2">
        <v>389299</v>
      </c>
      <c r="H314" s="2">
        <v>2500000</v>
      </c>
      <c r="I314" s="2">
        <f>29.71*(100000)</f>
        <v>2971000</v>
      </c>
      <c r="J314" s="2">
        <f t="shared" si="72"/>
        <v>2569331</v>
      </c>
      <c r="K314" s="2">
        <f t="shared" si="73"/>
        <v>2800727</v>
      </c>
      <c r="L314" s="2">
        <f t="shared" si="74"/>
        <v>471000</v>
      </c>
      <c r="M314" s="2">
        <f t="shared" si="75"/>
        <v>2597328</v>
      </c>
      <c r="N314" s="2">
        <f t="shared" si="76"/>
        <v>2663721</v>
      </c>
      <c r="O314" s="2">
        <f t="shared" si="77"/>
        <v>2581701</v>
      </c>
      <c r="P314" s="2">
        <f t="shared" si="78"/>
        <v>471000</v>
      </c>
      <c r="Q314" s="3">
        <f t="shared" si="79"/>
        <v>18086196678.249313</v>
      </c>
      <c r="R314" s="3">
        <f t="shared" si="80"/>
        <v>21490607475.421917</v>
      </c>
      <c r="S314" s="3">
        <f t="shared" si="81"/>
        <v>607783561.64383566</v>
      </c>
      <c r="T314" s="3">
        <f t="shared" si="82"/>
        <v>18482500656.39452</v>
      </c>
      <c r="U314" s="3">
        <f t="shared" si="83"/>
        <v>19439478262.578083</v>
      </c>
      <c r="V314" s="3">
        <f t="shared" si="84"/>
        <v>18260767269.591782</v>
      </c>
      <c r="W314" s="3">
        <f t="shared" si="85"/>
        <v>607783561.64383566</v>
      </c>
      <c r="X314" s="3">
        <f t="shared" si="86"/>
        <v>221841000000</v>
      </c>
      <c r="Y314" s="3">
        <f t="shared" si="87"/>
        <v>28164917831367.984</v>
      </c>
      <c r="AK314">
        <v>307279</v>
      </c>
      <c r="AM314">
        <f t="shared" si="88"/>
        <v>307279</v>
      </c>
      <c r="AN314">
        <v>389299</v>
      </c>
      <c r="AP314">
        <f t="shared" si="89"/>
        <v>389299</v>
      </c>
    </row>
    <row r="315" spans="1:42" x14ac:dyDescent="0.4">
      <c r="A315">
        <v>304</v>
      </c>
      <c r="B315" s="2">
        <v>316645</v>
      </c>
      <c r="C315" s="2">
        <v>78510</v>
      </c>
      <c r="D315" s="2">
        <f>IF(B315&lt;2500000,2500000,B315)</f>
        <v>2500000</v>
      </c>
      <c r="E315" s="2">
        <v>285981</v>
      </c>
      <c r="F315" s="2">
        <v>268424</v>
      </c>
      <c r="G315" s="2">
        <v>347017</v>
      </c>
      <c r="H315" s="2">
        <v>2500000</v>
      </c>
      <c r="I315" s="2">
        <f>29.82*(100000)</f>
        <v>2982000</v>
      </c>
      <c r="J315" s="2">
        <f t="shared" si="72"/>
        <v>2665355</v>
      </c>
      <c r="K315" s="2">
        <f t="shared" si="73"/>
        <v>2903490</v>
      </c>
      <c r="L315" s="2">
        <f t="shared" si="74"/>
        <v>482000</v>
      </c>
      <c r="M315" s="2">
        <f t="shared" si="75"/>
        <v>2696019</v>
      </c>
      <c r="N315" s="2">
        <f t="shared" si="76"/>
        <v>2713576</v>
      </c>
      <c r="O315" s="2">
        <f t="shared" si="77"/>
        <v>2634983</v>
      </c>
      <c r="P315" s="2">
        <f t="shared" si="78"/>
        <v>482000</v>
      </c>
      <c r="Q315" s="3">
        <f t="shared" si="79"/>
        <v>19463335002.80822</v>
      </c>
      <c r="R315" s="3">
        <f t="shared" si="80"/>
        <v>23096586794.794521</v>
      </c>
      <c r="S315" s="3">
        <f t="shared" si="81"/>
        <v>636504109.58904111</v>
      </c>
      <c r="T315" s="3">
        <f t="shared" si="82"/>
        <v>19913749173.591782</v>
      </c>
      <c r="U315" s="3">
        <f t="shared" si="83"/>
        <v>20173958103.495892</v>
      </c>
      <c r="V315" s="3">
        <f t="shared" si="84"/>
        <v>19022288795.312328</v>
      </c>
      <c r="W315" s="3">
        <f t="shared" si="85"/>
        <v>636504109.58904111</v>
      </c>
      <c r="X315" s="3">
        <f t="shared" si="86"/>
        <v>232324000000</v>
      </c>
      <c r="Y315" s="3">
        <f t="shared" si="87"/>
        <v>28048283445066.617</v>
      </c>
      <c r="AK315">
        <v>268424</v>
      </c>
      <c r="AM315">
        <f t="shared" si="88"/>
        <v>268424</v>
      </c>
      <c r="AN315">
        <v>347017</v>
      </c>
      <c r="AP315">
        <f t="shared" si="89"/>
        <v>347017</v>
      </c>
    </row>
    <row r="316" spans="1:42" x14ac:dyDescent="0.4">
      <c r="A316">
        <v>305</v>
      </c>
      <c r="B316" s="2">
        <v>256224</v>
      </c>
      <c r="C316" s="2">
        <v>36992.800000000003</v>
      </c>
      <c r="D316" s="2">
        <f>IF(B316&lt;2500000,2500000,B316)</f>
        <v>2500000</v>
      </c>
      <c r="E316" s="2">
        <v>224897</v>
      </c>
      <c r="F316" s="2">
        <v>234999</v>
      </c>
      <c r="G316" s="2">
        <v>309891</v>
      </c>
      <c r="H316" s="2">
        <v>2500000</v>
      </c>
      <c r="I316" s="2">
        <f>30.42*(100000)</f>
        <v>3042000</v>
      </c>
      <c r="J316" s="2">
        <f t="shared" si="72"/>
        <v>2785776</v>
      </c>
      <c r="K316" s="2">
        <f t="shared" si="73"/>
        <v>3005007.2</v>
      </c>
      <c r="L316" s="2">
        <f t="shared" si="74"/>
        <v>542000</v>
      </c>
      <c r="M316" s="2">
        <f t="shared" si="75"/>
        <v>2817103</v>
      </c>
      <c r="N316" s="2">
        <f t="shared" si="76"/>
        <v>2807001</v>
      </c>
      <c r="O316" s="2">
        <f t="shared" si="77"/>
        <v>2732109</v>
      </c>
      <c r="P316" s="2">
        <f t="shared" si="78"/>
        <v>542000</v>
      </c>
      <c r="Q316" s="3">
        <f t="shared" si="79"/>
        <v>21261775129.249313</v>
      </c>
      <c r="R316" s="3">
        <f t="shared" si="80"/>
        <v>24739913074.114635</v>
      </c>
      <c r="S316" s="3">
        <f t="shared" si="81"/>
        <v>804832876.71232879</v>
      </c>
      <c r="T316" s="3">
        <f t="shared" si="82"/>
        <v>21742655650.983562</v>
      </c>
      <c r="U316" s="3">
        <f t="shared" si="83"/>
        <v>21586998942.468494</v>
      </c>
      <c r="V316" s="3">
        <f t="shared" si="84"/>
        <v>20450464624.331509</v>
      </c>
      <c r="W316" s="3">
        <f t="shared" si="85"/>
        <v>804832876.71232879</v>
      </c>
      <c r="X316" s="3">
        <f t="shared" si="86"/>
        <v>293764000000</v>
      </c>
      <c r="Y316" s="3">
        <f t="shared" si="87"/>
        <v>27416355883422.781</v>
      </c>
      <c r="AK316">
        <v>234999</v>
      </c>
      <c r="AM316">
        <f t="shared" si="88"/>
        <v>234999</v>
      </c>
      <c r="AN316">
        <v>309891</v>
      </c>
      <c r="AP316">
        <f t="shared" si="89"/>
        <v>309891</v>
      </c>
    </row>
    <row r="317" spans="1:42" x14ac:dyDescent="0.4">
      <c r="A317">
        <v>306</v>
      </c>
      <c r="B317" s="2">
        <v>209399</v>
      </c>
      <c r="C317" s="2">
        <v>17683.3</v>
      </c>
      <c r="D317" s="2">
        <f>IF(B317&lt;2500000,2500000,B317)</f>
        <v>2500000</v>
      </c>
      <c r="E317" s="2">
        <v>178752</v>
      </c>
      <c r="F317" s="2">
        <v>205990</v>
      </c>
      <c r="G317" s="2">
        <v>277014</v>
      </c>
      <c r="H317" s="2">
        <v>2500000</v>
      </c>
      <c r="I317" s="2">
        <f>30.17*(100000)</f>
        <v>3017000</v>
      </c>
      <c r="J317" s="2">
        <f t="shared" si="72"/>
        <v>2807601</v>
      </c>
      <c r="K317" s="2">
        <f t="shared" si="73"/>
        <v>2999316.7</v>
      </c>
      <c r="L317" s="2">
        <f t="shared" si="74"/>
        <v>517000</v>
      </c>
      <c r="M317" s="2">
        <f t="shared" si="75"/>
        <v>2838248</v>
      </c>
      <c r="N317" s="2">
        <f t="shared" si="76"/>
        <v>2811010</v>
      </c>
      <c r="O317" s="2">
        <f t="shared" si="77"/>
        <v>2739986</v>
      </c>
      <c r="P317" s="2">
        <f t="shared" si="78"/>
        <v>517000</v>
      </c>
      <c r="Q317" s="3">
        <f t="shared" si="79"/>
        <v>21596228425.208218</v>
      </c>
      <c r="R317" s="3">
        <f t="shared" si="80"/>
        <v>24646303196.983261</v>
      </c>
      <c r="S317" s="3">
        <f t="shared" si="81"/>
        <v>732298630.13698626</v>
      </c>
      <c r="T317" s="3">
        <f t="shared" si="82"/>
        <v>22070278656.175343</v>
      </c>
      <c r="U317" s="3">
        <f t="shared" si="83"/>
        <v>21648704712.602741</v>
      </c>
      <c r="V317" s="3">
        <f t="shared" si="84"/>
        <v>20568556932.043835</v>
      </c>
      <c r="W317" s="3">
        <f t="shared" si="85"/>
        <v>732298630.13698626</v>
      </c>
      <c r="X317" s="3">
        <f t="shared" si="86"/>
        <v>267289000000</v>
      </c>
      <c r="Y317" s="3">
        <f t="shared" si="87"/>
        <v>27678784034107.711</v>
      </c>
      <c r="AK317">
        <v>205990</v>
      </c>
      <c r="AM317">
        <f t="shared" si="88"/>
        <v>205990</v>
      </c>
      <c r="AN317">
        <v>277014</v>
      </c>
      <c r="AP317">
        <f t="shared" si="89"/>
        <v>277014</v>
      </c>
    </row>
    <row r="318" spans="1:42" x14ac:dyDescent="0.4">
      <c r="A318">
        <v>307</v>
      </c>
      <c r="B318" s="2">
        <v>171761</v>
      </c>
      <c r="C318" s="2">
        <v>8531.9</v>
      </c>
      <c r="D318" s="2">
        <f>IF(B318&lt;2500000,2500000,B318)</f>
        <v>2500000</v>
      </c>
      <c r="E318" s="2">
        <v>142652</v>
      </c>
      <c r="F318" s="2">
        <v>180687</v>
      </c>
      <c r="G318" s="2">
        <v>247761</v>
      </c>
      <c r="H318" s="2">
        <v>2500000</v>
      </c>
      <c r="I318" s="2">
        <f>30.17*(100000)</f>
        <v>3017000</v>
      </c>
      <c r="J318" s="2">
        <f t="shared" si="72"/>
        <v>2845239</v>
      </c>
      <c r="K318" s="2">
        <f t="shared" si="73"/>
        <v>3008468.1</v>
      </c>
      <c r="L318" s="2">
        <f t="shared" si="74"/>
        <v>517000</v>
      </c>
      <c r="M318" s="2">
        <f t="shared" si="75"/>
        <v>2874348</v>
      </c>
      <c r="N318" s="2">
        <f t="shared" si="76"/>
        <v>2836313</v>
      </c>
      <c r="O318" s="2">
        <f t="shared" si="77"/>
        <v>2769239</v>
      </c>
      <c r="P318" s="2">
        <f t="shared" si="78"/>
        <v>517000</v>
      </c>
      <c r="Q318" s="3">
        <f t="shared" si="79"/>
        <v>22179136896.221916</v>
      </c>
      <c r="R318" s="3">
        <f t="shared" si="80"/>
        <v>24796932352.65099</v>
      </c>
      <c r="S318" s="3">
        <f t="shared" si="81"/>
        <v>732298630.13698626</v>
      </c>
      <c r="T318" s="3">
        <f t="shared" si="82"/>
        <v>22635277876.997261</v>
      </c>
      <c r="U318" s="3">
        <f t="shared" si="83"/>
        <v>22040195709.504108</v>
      </c>
      <c r="V318" s="3">
        <f t="shared" si="84"/>
        <v>21010094901.70137</v>
      </c>
      <c r="W318" s="3">
        <f t="shared" si="85"/>
        <v>732298630.13698626</v>
      </c>
      <c r="X318" s="3">
        <f t="shared" si="86"/>
        <v>267289000000</v>
      </c>
      <c r="Y318" s="3">
        <f t="shared" si="87"/>
        <v>27678784034107.711</v>
      </c>
      <c r="AK318">
        <v>180687</v>
      </c>
      <c r="AM318">
        <f t="shared" si="88"/>
        <v>180687</v>
      </c>
      <c r="AN318">
        <v>247761</v>
      </c>
      <c r="AP318">
        <f t="shared" si="89"/>
        <v>247761</v>
      </c>
    </row>
    <row r="319" spans="1:42" x14ac:dyDescent="0.4">
      <c r="A319">
        <v>308</v>
      </c>
      <c r="B319" s="2">
        <v>141078</v>
      </c>
      <c r="C319" s="2">
        <v>4140.75</v>
      </c>
      <c r="D319" s="2">
        <f>IF(B319&lt;2500000,2500000,B319)</f>
        <v>2500000</v>
      </c>
      <c r="E319" s="2">
        <v>114016</v>
      </c>
      <c r="F319" s="2">
        <v>158553</v>
      </c>
      <c r="G319" s="2">
        <v>222059</v>
      </c>
      <c r="H319" s="2">
        <v>2500000</v>
      </c>
      <c r="I319" s="2">
        <f>30.17*(100000)</f>
        <v>3017000</v>
      </c>
      <c r="J319" s="2">
        <f t="shared" si="72"/>
        <v>2875922</v>
      </c>
      <c r="K319" s="2">
        <f t="shared" si="73"/>
        <v>3012859.25</v>
      </c>
      <c r="L319" s="2">
        <f t="shared" si="74"/>
        <v>517000</v>
      </c>
      <c r="M319" s="2">
        <f t="shared" si="75"/>
        <v>2902984</v>
      </c>
      <c r="N319" s="2">
        <f t="shared" si="76"/>
        <v>2858447</v>
      </c>
      <c r="O319" s="2">
        <f t="shared" si="77"/>
        <v>2794941</v>
      </c>
      <c r="P319" s="2">
        <f t="shared" si="78"/>
        <v>517000</v>
      </c>
      <c r="Q319" s="3">
        <f t="shared" si="79"/>
        <v>22660074931.736988</v>
      </c>
      <c r="R319" s="3">
        <f t="shared" si="80"/>
        <v>24869372220.028938</v>
      </c>
      <c r="S319" s="3">
        <f t="shared" si="81"/>
        <v>732298630.13698626</v>
      </c>
      <c r="T319" s="3">
        <f t="shared" si="82"/>
        <v>23088537271.934246</v>
      </c>
      <c r="U319" s="3">
        <f t="shared" si="83"/>
        <v>22385532196.736988</v>
      </c>
      <c r="V319" s="3">
        <f t="shared" si="84"/>
        <v>21401904639.673973</v>
      </c>
      <c r="W319" s="3">
        <f t="shared" si="85"/>
        <v>732298630.13698626</v>
      </c>
      <c r="X319" s="3">
        <f t="shared" si="86"/>
        <v>267289000000</v>
      </c>
      <c r="Y319" s="3">
        <f t="shared" si="87"/>
        <v>27678784034107.711</v>
      </c>
      <c r="AK319">
        <v>158553</v>
      </c>
      <c r="AM319">
        <f t="shared" si="88"/>
        <v>158553</v>
      </c>
      <c r="AN319">
        <v>222059</v>
      </c>
      <c r="AP319">
        <f t="shared" si="89"/>
        <v>222059</v>
      </c>
    </row>
    <row r="320" spans="1:42" x14ac:dyDescent="0.4">
      <c r="A320">
        <v>309</v>
      </c>
      <c r="B320" s="2">
        <v>115933</v>
      </c>
      <c r="C320" s="2">
        <v>2017</v>
      </c>
      <c r="D320" s="2">
        <f>IF(B320&lt;2500000,2500000,B320)</f>
        <v>2500000</v>
      </c>
      <c r="E320" s="2">
        <v>91181.5</v>
      </c>
      <c r="F320" s="2">
        <v>139161</v>
      </c>
      <c r="G320" s="2">
        <v>198888</v>
      </c>
      <c r="H320" s="2">
        <v>2500000</v>
      </c>
      <c r="I320" s="2">
        <f>30.48*(100000)</f>
        <v>3048000</v>
      </c>
      <c r="J320" s="2">
        <f t="shared" si="72"/>
        <v>2932067</v>
      </c>
      <c r="K320" s="2">
        <f t="shared" si="73"/>
        <v>3045983</v>
      </c>
      <c r="L320" s="2">
        <f t="shared" si="74"/>
        <v>548000</v>
      </c>
      <c r="M320" s="2">
        <f t="shared" si="75"/>
        <v>2956818.5</v>
      </c>
      <c r="N320" s="2">
        <f t="shared" si="76"/>
        <v>2908839</v>
      </c>
      <c r="O320" s="2">
        <f t="shared" si="77"/>
        <v>2849112</v>
      </c>
      <c r="P320" s="2">
        <f t="shared" si="78"/>
        <v>548000</v>
      </c>
      <c r="Q320" s="3">
        <f t="shared" si="79"/>
        <v>23553470938.326027</v>
      </c>
      <c r="R320" s="3">
        <f t="shared" si="80"/>
        <v>25419212154.216438</v>
      </c>
      <c r="S320" s="3">
        <f t="shared" si="81"/>
        <v>822750684.93150687</v>
      </c>
      <c r="T320" s="3">
        <f t="shared" si="82"/>
        <v>23952809977.923973</v>
      </c>
      <c r="U320" s="3">
        <f t="shared" si="83"/>
        <v>23181765281.975342</v>
      </c>
      <c r="V320" s="3">
        <f t="shared" si="84"/>
        <v>22239559420.668491</v>
      </c>
      <c r="W320" s="3">
        <f t="shared" si="85"/>
        <v>822750684.93150687</v>
      </c>
      <c r="X320" s="3">
        <f t="shared" si="86"/>
        <v>300304000000</v>
      </c>
      <c r="Y320" s="3">
        <f t="shared" si="87"/>
        <v>27353559127258.395</v>
      </c>
      <c r="AK320">
        <v>139161</v>
      </c>
      <c r="AM320">
        <f t="shared" si="88"/>
        <v>139161</v>
      </c>
      <c r="AN320">
        <v>198888</v>
      </c>
      <c r="AP320">
        <f t="shared" si="89"/>
        <v>198888</v>
      </c>
    </row>
    <row r="321" spans="1:42" x14ac:dyDescent="0.4">
      <c r="A321">
        <v>310</v>
      </c>
      <c r="B321" s="2">
        <v>5488850</v>
      </c>
      <c r="C321" s="2">
        <v>26054500</v>
      </c>
      <c r="D321" s="2">
        <f>IF(B321&lt;2500000,2500000,B321)</f>
        <v>5488850</v>
      </c>
      <c r="E321" s="2">
        <v>5912600</v>
      </c>
      <c r="F321" s="2">
        <v>2026090</v>
      </c>
      <c r="G321" s="2">
        <v>1460140</v>
      </c>
      <c r="H321" s="2">
        <v>3767009.1049390072</v>
      </c>
      <c r="I321" s="2">
        <f>29.5*(100000)</f>
        <v>2950000</v>
      </c>
      <c r="J321" s="2">
        <f t="shared" si="72"/>
        <v>2538850</v>
      </c>
      <c r="K321" s="2">
        <f t="shared" si="73"/>
        <v>23104500</v>
      </c>
      <c r="L321" s="2">
        <f t="shared" si="74"/>
        <v>2538850</v>
      </c>
      <c r="M321" s="2">
        <f t="shared" si="75"/>
        <v>2962600</v>
      </c>
      <c r="N321" s="2">
        <f t="shared" si="76"/>
        <v>923910</v>
      </c>
      <c r="O321" s="2">
        <f t="shared" si="77"/>
        <v>1489860</v>
      </c>
      <c r="P321" s="2">
        <f t="shared" si="78"/>
        <v>817009.1049390072</v>
      </c>
      <c r="Q321" s="3">
        <f t="shared" si="79"/>
        <v>17659614582.19178</v>
      </c>
      <c r="R321" s="3">
        <f t="shared" si="80"/>
        <v>1462514850000</v>
      </c>
      <c r="S321" s="3">
        <f t="shared" si="81"/>
        <v>17659614582.19178</v>
      </c>
      <c r="T321" s="3">
        <f t="shared" si="82"/>
        <v>24046571945.205479</v>
      </c>
      <c r="U321" s="3">
        <f t="shared" si="83"/>
        <v>2338656679.7260275</v>
      </c>
      <c r="V321" s="3">
        <f t="shared" si="84"/>
        <v>6081322793.4246578</v>
      </c>
      <c r="W321" s="3">
        <f t="shared" si="85"/>
        <v>1828777746.721199</v>
      </c>
      <c r="X321" s="3">
        <f t="shared" si="86"/>
        <v>667503877553.23767</v>
      </c>
      <c r="Y321" s="3">
        <f t="shared" si="87"/>
        <v>28388255477943.328</v>
      </c>
      <c r="AK321">
        <v>2.0260899999999999</v>
      </c>
      <c r="AL321">
        <v>1000000</v>
      </c>
      <c r="AM321">
        <f t="shared" si="88"/>
        <v>2026090</v>
      </c>
      <c r="AN321">
        <v>1.46014</v>
      </c>
      <c r="AO321">
        <v>1000000</v>
      </c>
      <c r="AP321">
        <f t="shared" si="89"/>
        <v>1460140</v>
      </c>
    </row>
    <row r="322" spans="1:42" x14ac:dyDescent="0.4">
      <c r="A322">
        <v>311</v>
      </c>
      <c r="B322" s="2">
        <v>6056840</v>
      </c>
      <c r="C322" s="2">
        <v>9456360</v>
      </c>
      <c r="D322" s="2">
        <f>IF(B322&lt;2500000,2500000,B322)</f>
        <v>6056840</v>
      </c>
      <c r="E322" s="2">
        <v>6383990</v>
      </c>
      <c r="F322" s="2">
        <v>1655060</v>
      </c>
      <c r="G322" s="2">
        <v>1591250</v>
      </c>
      <c r="H322" s="2">
        <v>2590664.3195453589</v>
      </c>
      <c r="I322" s="2">
        <f>30.55*(100000)</f>
        <v>3055000</v>
      </c>
      <c r="J322" s="2">
        <f t="shared" si="72"/>
        <v>3001840</v>
      </c>
      <c r="K322" s="2">
        <f t="shared" si="73"/>
        <v>6401360</v>
      </c>
      <c r="L322" s="2">
        <f t="shared" si="74"/>
        <v>3001840</v>
      </c>
      <c r="M322" s="2">
        <f t="shared" si="75"/>
        <v>3328990</v>
      </c>
      <c r="N322" s="2">
        <f t="shared" si="76"/>
        <v>1399940</v>
      </c>
      <c r="O322" s="2">
        <f t="shared" si="77"/>
        <v>1463750</v>
      </c>
      <c r="P322" s="2">
        <f t="shared" si="78"/>
        <v>464335.68045464111</v>
      </c>
      <c r="Q322" s="3">
        <f t="shared" si="79"/>
        <v>24687790097.534248</v>
      </c>
      <c r="R322" s="3">
        <f t="shared" si="80"/>
        <v>112266876300.27397</v>
      </c>
      <c r="S322" s="3">
        <f t="shared" si="81"/>
        <v>24687790097.534248</v>
      </c>
      <c r="T322" s="3">
        <f t="shared" si="82"/>
        <v>30362121698.90411</v>
      </c>
      <c r="U322" s="3">
        <f t="shared" si="83"/>
        <v>5369402749.5890408</v>
      </c>
      <c r="V322" s="3">
        <f t="shared" si="84"/>
        <v>5870038527.3972607</v>
      </c>
      <c r="W322" s="3">
        <f t="shared" si="85"/>
        <v>590705819.57061529</v>
      </c>
      <c r="X322" s="3">
        <f t="shared" si="86"/>
        <v>215607624143.2746</v>
      </c>
      <c r="Y322" s="3">
        <f t="shared" si="87"/>
        <v>27280387245066.617</v>
      </c>
      <c r="AK322">
        <v>1.65506</v>
      </c>
      <c r="AL322">
        <v>1000000</v>
      </c>
      <c r="AM322">
        <f t="shared" si="88"/>
        <v>1655060</v>
      </c>
      <c r="AN322">
        <v>1.5912500000000001</v>
      </c>
      <c r="AO322">
        <v>1000000</v>
      </c>
      <c r="AP322">
        <f t="shared" si="89"/>
        <v>1591250</v>
      </c>
    </row>
    <row r="323" spans="1:42" x14ac:dyDescent="0.4">
      <c r="A323">
        <v>312</v>
      </c>
      <c r="B323" s="2">
        <v>5197680</v>
      </c>
      <c r="C323" s="2">
        <v>3724050</v>
      </c>
      <c r="D323" s="2">
        <f>IF(B323&lt;2500000,2500000,B323)</f>
        <v>5197680</v>
      </c>
      <c r="E323" s="2">
        <v>5387400</v>
      </c>
      <c r="F323" s="2">
        <v>1384070</v>
      </c>
      <c r="G323" s="2">
        <v>1351820</v>
      </c>
      <c r="H323" s="2">
        <v>2704307.028727938</v>
      </c>
      <c r="I323" s="2">
        <f>30.2*(100000)</f>
        <v>3020000</v>
      </c>
      <c r="J323" s="2">
        <f t="shared" si="72"/>
        <v>2177680</v>
      </c>
      <c r="K323" s="2">
        <f t="shared" si="73"/>
        <v>704050</v>
      </c>
      <c r="L323" s="2">
        <f t="shared" si="74"/>
        <v>2177680</v>
      </c>
      <c r="M323" s="2">
        <f t="shared" si="75"/>
        <v>2367400</v>
      </c>
      <c r="N323" s="2">
        <f t="shared" si="76"/>
        <v>1635930</v>
      </c>
      <c r="O323" s="2">
        <f t="shared" si="77"/>
        <v>1668180</v>
      </c>
      <c r="P323" s="2">
        <f t="shared" si="78"/>
        <v>315692.97127206204</v>
      </c>
      <c r="Q323" s="3">
        <f t="shared" si="79"/>
        <v>12992575842.19178</v>
      </c>
      <c r="R323" s="3">
        <f t="shared" si="80"/>
        <v>1358044938.3561645</v>
      </c>
      <c r="S323" s="3">
        <f t="shared" si="81"/>
        <v>12992575842.19178</v>
      </c>
      <c r="T323" s="3">
        <f t="shared" si="82"/>
        <v>15355021260.273973</v>
      </c>
      <c r="U323" s="3">
        <f t="shared" si="83"/>
        <v>7332238260</v>
      </c>
      <c r="V323" s="3">
        <f t="shared" si="84"/>
        <v>7624176746.3013697</v>
      </c>
      <c r="W323" s="3">
        <f t="shared" si="85"/>
        <v>273046718.11118627</v>
      </c>
      <c r="X323" s="3">
        <f t="shared" si="86"/>
        <v>99662052110.582993</v>
      </c>
      <c r="Y323" s="3">
        <f t="shared" si="87"/>
        <v>27647226656025.52</v>
      </c>
      <c r="AK323">
        <v>1.3840699999999999</v>
      </c>
      <c r="AL323">
        <v>1000000</v>
      </c>
      <c r="AM323">
        <f t="shared" si="88"/>
        <v>1384070</v>
      </c>
      <c r="AN323">
        <v>1.35182</v>
      </c>
      <c r="AO323">
        <v>1000000</v>
      </c>
      <c r="AP323">
        <f t="shared" si="89"/>
        <v>1351820</v>
      </c>
    </row>
    <row r="324" spans="1:42" x14ac:dyDescent="0.4">
      <c r="A324">
        <v>313</v>
      </c>
      <c r="B324" s="2">
        <v>3837130</v>
      </c>
      <c r="C324" s="2">
        <v>1638830</v>
      </c>
      <c r="D324" s="2">
        <f>IF(B324&lt;2500000,2500000,B324)</f>
        <v>3837130</v>
      </c>
      <c r="E324" s="2">
        <v>3928630</v>
      </c>
      <c r="F324" s="2">
        <v>1186700</v>
      </c>
      <c r="G324" s="2">
        <v>1178930</v>
      </c>
      <c r="H324" s="2">
        <v>2644985.187848507</v>
      </c>
      <c r="I324" s="2">
        <f>30.37*(100000)</f>
        <v>3037000</v>
      </c>
      <c r="J324" s="2">
        <f t="shared" si="72"/>
        <v>800130</v>
      </c>
      <c r="K324" s="2">
        <f t="shared" si="73"/>
        <v>1398170</v>
      </c>
      <c r="L324" s="2">
        <f t="shared" si="74"/>
        <v>800130</v>
      </c>
      <c r="M324" s="2">
        <f t="shared" si="75"/>
        <v>891630</v>
      </c>
      <c r="N324" s="2">
        <f t="shared" si="76"/>
        <v>1850300</v>
      </c>
      <c r="O324" s="2">
        <f t="shared" si="77"/>
        <v>1858070</v>
      </c>
      <c r="P324" s="2">
        <f t="shared" si="78"/>
        <v>392014.81215149304</v>
      </c>
      <c r="Q324" s="3">
        <f t="shared" si="79"/>
        <v>1753994566.8493152</v>
      </c>
      <c r="R324" s="3">
        <f t="shared" si="80"/>
        <v>5355833832.6027393</v>
      </c>
      <c r="S324" s="3">
        <f t="shared" si="81"/>
        <v>1753994566.8493152</v>
      </c>
      <c r="T324" s="3">
        <f t="shared" si="82"/>
        <v>2178093306.5753427</v>
      </c>
      <c r="U324" s="3">
        <f t="shared" si="83"/>
        <v>9379753671.2328758</v>
      </c>
      <c r="V324" s="3">
        <f t="shared" si="84"/>
        <v>9458696232.6027393</v>
      </c>
      <c r="W324" s="3">
        <f t="shared" si="85"/>
        <v>421029076.56485033</v>
      </c>
      <c r="X324" s="3">
        <f t="shared" si="86"/>
        <v>153675612946.17038</v>
      </c>
      <c r="Y324" s="3">
        <f t="shared" si="87"/>
        <v>27468741513559.766</v>
      </c>
      <c r="AK324">
        <v>1.1867000000000001</v>
      </c>
      <c r="AL324">
        <v>1000000</v>
      </c>
      <c r="AM324">
        <f t="shared" si="88"/>
        <v>1186700</v>
      </c>
      <c r="AN324">
        <v>1.17893</v>
      </c>
      <c r="AO324">
        <v>1000000</v>
      </c>
      <c r="AP324">
        <f t="shared" si="89"/>
        <v>1178930</v>
      </c>
    </row>
    <row r="325" spans="1:42" x14ac:dyDescent="0.4">
      <c r="A325">
        <v>314</v>
      </c>
      <c r="B325" s="2">
        <v>4734880</v>
      </c>
      <c r="C325" s="2">
        <v>11176200</v>
      </c>
      <c r="D325" s="2">
        <f>IF(B325&lt;2500000,2500000,B325)</f>
        <v>4734880</v>
      </c>
      <c r="E325" s="2">
        <v>4936150</v>
      </c>
      <c r="F325" s="2">
        <v>1794900</v>
      </c>
      <c r="G325" s="2">
        <v>1558090</v>
      </c>
      <c r="H325" s="2">
        <v>3068299.941684416</v>
      </c>
      <c r="I325" s="2">
        <f>30.35*(100000)</f>
        <v>3035000</v>
      </c>
      <c r="J325" s="2">
        <f t="shared" si="72"/>
        <v>1699880</v>
      </c>
      <c r="K325" s="2">
        <f t="shared" si="73"/>
        <v>8141200</v>
      </c>
      <c r="L325" s="2">
        <f t="shared" si="74"/>
        <v>1699880</v>
      </c>
      <c r="M325" s="2">
        <f t="shared" si="75"/>
        <v>1901150</v>
      </c>
      <c r="N325" s="2">
        <f t="shared" si="76"/>
        <v>1240100</v>
      </c>
      <c r="O325" s="2">
        <f t="shared" si="77"/>
        <v>1476910</v>
      </c>
      <c r="P325" s="2">
        <f t="shared" si="78"/>
        <v>33299.94168441603</v>
      </c>
      <c r="Q325" s="3">
        <f t="shared" si="79"/>
        <v>7916690450.4109592</v>
      </c>
      <c r="R325" s="3">
        <f t="shared" si="80"/>
        <v>181586677917.80823</v>
      </c>
      <c r="S325" s="3">
        <f t="shared" si="81"/>
        <v>7916690450.4109592</v>
      </c>
      <c r="T325" s="3">
        <f t="shared" si="82"/>
        <v>9902387184.9315071</v>
      </c>
      <c r="U325" s="3">
        <f t="shared" si="83"/>
        <v>4213282219.178082</v>
      </c>
      <c r="V325" s="3">
        <f t="shared" si="84"/>
        <v>5976063419.452055</v>
      </c>
      <c r="W325" s="3">
        <f t="shared" si="85"/>
        <v>3038044.1539328992</v>
      </c>
      <c r="X325" s="3">
        <f t="shared" si="86"/>
        <v>1108886116.1855083</v>
      </c>
      <c r="Y325" s="3">
        <f t="shared" si="87"/>
        <v>27489709765614.563</v>
      </c>
      <c r="AK325">
        <v>1.7948999999999999</v>
      </c>
      <c r="AL325">
        <v>1000000</v>
      </c>
      <c r="AM325">
        <f t="shared" si="88"/>
        <v>1794900</v>
      </c>
      <c r="AN325">
        <v>1.55809</v>
      </c>
      <c r="AO325">
        <v>1000000</v>
      </c>
      <c r="AP325">
        <f t="shared" si="89"/>
        <v>1558090</v>
      </c>
    </row>
    <row r="326" spans="1:42" x14ac:dyDescent="0.4">
      <c r="A326">
        <v>315</v>
      </c>
      <c r="B326" s="2">
        <v>4168370.0000000005</v>
      </c>
      <c r="C326" s="2">
        <v>3493230</v>
      </c>
      <c r="D326" s="2">
        <f>IF(B326&lt;2500000,2500000,B326)</f>
        <v>4168370.0000000005</v>
      </c>
      <c r="E326" s="2">
        <v>4282900</v>
      </c>
      <c r="F326" s="2">
        <v>1499090</v>
      </c>
      <c r="G326" s="2">
        <v>1481060</v>
      </c>
      <c r="H326" s="2">
        <v>2640373.9893497308</v>
      </c>
      <c r="I326" s="2">
        <f>31.81*(100000)</f>
        <v>3181000</v>
      </c>
      <c r="J326" s="2">
        <f t="shared" si="72"/>
        <v>987370.00000000047</v>
      </c>
      <c r="K326" s="2">
        <f t="shared" si="73"/>
        <v>312230</v>
      </c>
      <c r="L326" s="2">
        <f t="shared" si="74"/>
        <v>987370.00000000047</v>
      </c>
      <c r="M326" s="2">
        <f t="shared" si="75"/>
        <v>1101900</v>
      </c>
      <c r="N326" s="2">
        <f t="shared" si="76"/>
        <v>1681910</v>
      </c>
      <c r="O326" s="2">
        <f t="shared" si="77"/>
        <v>1699940</v>
      </c>
      <c r="P326" s="2">
        <f t="shared" si="78"/>
        <v>540626.01065026922</v>
      </c>
      <c r="Q326" s="3">
        <f t="shared" si="79"/>
        <v>2670957580.5479479</v>
      </c>
      <c r="R326" s="3">
        <f t="shared" si="80"/>
        <v>267089240.8219178</v>
      </c>
      <c r="S326" s="3">
        <f t="shared" si="81"/>
        <v>2670957580.5479479</v>
      </c>
      <c r="T326" s="3">
        <f t="shared" si="82"/>
        <v>3326530438.3561645</v>
      </c>
      <c r="U326" s="3">
        <f t="shared" si="83"/>
        <v>7750195200.2739725</v>
      </c>
      <c r="V326" s="3">
        <f t="shared" si="84"/>
        <v>7917249324.9315071</v>
      </c>
      <c r="W326" s="3">
        <f t="shared" si="85"/>
        <v>800757488.74417806</v>
      </c>
      <c r="X326" s="3">
        <f t="shared" si="86"/>
        <v>292276483391.625</v>
      </c>
      <c r="Y326" s="3">
        <f t="shared" si="87"/>
        <v>25980051365614.563</v>
      </c>
      <c r="AK326">
        <v>1.49909</v>
      </c>
      <c r="AL326">
        <v>1000000</v>
      </c>
      <c r="AM326">
        <f t="shared" si="88"/>
        <v>1499090</v>
      </c>
      <c r="AN326">
        <v>1.48106</v>
      </c>
      <c r="AO326">
        <v>1000000</v>
      </c>
      <c r="AP326">
        <f t="shared" si="89"/>
        <v>1481060</v>
      </c>
    </row>
    <row r="327" spans="1:42" x14ac:dyDescent="0.4">
      <c r="A327">
        <v>316</v>
      </c>
      <c r="B327" s="2">
        <v>3159100</v>
      </c>
      <c r="C327" s="2">
        <v>1534570</v>
      </c>
      <c r="D327" s="2">
        <f>IF(B327&lt;2500000,2500000,B327)</f>
        <v>3159100</v>
      </c>
      <c r="E327" s="2">
        <v>3187100</v>
      </c>
      <c r="F327" s="2">
        <v>1302910</v>
      </c>
      <c r="G327" s="2">
        <v>1310670</v>
      </c>
      <c r="H327" s="2">
        <v>2645699.303689064</v>
      </c>
      <c r="I327" s="2">
        <f>31.92*(100000)</f>
        <v>3192000</v>
      </c>
      <c r="J327" s="2">
        <f t="shared" si="72"/>
        <v>32900</v>
      </c>
      <c r="K327" s="2">
        <f t="shared" si="73"/>
        <v>1657430</v>
      </c>
      <c r="L327" s="2">
        <f t="shared" si="74"/>
        <v>32900</v>
      </c>
      <c r="M327" s="2">
        <f t="shared" si="75"/>
        <v>4900</v>
      </c>
      <c r="N327" s="2">
        <f t="shared" si="76"/>
        <v>1889090</v>
      </c>
      <c r="O327" s="2">
        <f t="shared" si="77"/>
        <v>1881330</v>
      </c>
      <c r="P327" s="2">
        <f t="shared" si="78"/>
        <v>546300.69631093601</v>
      </c>
      <c r="Q327" s="3">
        <f t="shared" si="79"/>
        <v>2965506.8493150687</v>
      </c>
      <c r="R327" s="3">
        <f t="shared" si="80"/>
        <v>7526230698.356164</v>
      </c>
      <c r="S327" s="3">
        <f t="shared" si="81"/>
        <v>2965506.8493150687</v>
      </c>
      <c r="T327" s="3">
        <f t="shared" si="82"/>
        <v>65780.821917808222</v>
      </c>
      <c r="U327" s="3">
        <f t="shared" si="83"/>
        <v>9777153501.6438351</v>
      </c>
      <c r="V327" s="3">
        <f t="shared" si="84"/>
        <v>9696993339.452055</v>
      </c>
      <c r="W327" s="3">
        <f t="shared" si="85"/>
        <v>817656029.56113303</v>
      </c>
      <c r="X327" s="3">
        <f t="shared" si="86"/>
        <v>298444450789.81354</v>
      </c>
      <c r="Y327" s="3">
        <f t="shared" si="87"/>
        <v>25868036979313.191</v>
      </c>
      <c r="AK327">
        <v>1.30291</v>
      </c>
      <c r="AL327">
        <v>1000000</v>
      </c>
      <c r="AM327">
        <f t="shared" si="88"/>
        <v>1302910</v>
      </c>
      <c r="AN327">
        <v>1.31067</v>
      </c>
      <c r="AO327">
        <v>1000000</v>
      </c>
      <c r="AP327">
        <f t="shared" si="89"/>
        <v>1310670</v>
      </c>
    </row>
    <row r="328" spans="1:42" x14ac:dyDescent="0.4">
      <c r="A328">
        <v>317</v>
      </c>
      <c r="B328" s="2">
        <v>2241960</v>
      </c>
      <c r="C328" s="2">
        <v>696106</v>
      </c>
      <c r="D328" s="2">
        <f>IF(B328&lt;2500000,2500000,B328)</f>
        <v>2500000</v>
      </c>
      <c r="E328" s="2">
        <v>2210630</v>
      </c>
      <c r="F328" s="2">
        <v>1141530</v>
      </c>
      <c r="G328" s="2">
        <v>1170750</v>
      </c>
      <c r="H328" s="2">
        <v>2592600.9041427039</v>
      </c>
      <c r="I328" s="2">
        <f>30.91*(100000)</f>
        <v>3091000</v>
      </c>
      <c r="J328" s="2">
        <f t="shared" si="72"/>
        <v>849040</v>
      </c>
      <c r="K328" s="2">
        <f t="shared" si="73"/>
        <v>2394894</v>
      </c>
      <c r="L328" s="2">
        <f t="shared" si="74"/>
        <v>591000</v>
      </c>
      <c r="M328" s="2">
        <f t="shared" si="75"/>
        <v>880370</v>
      </c>
      <c r="N328" s="2">
        <f t="shared" si="76"/>
        <v>1949470</v>
      </c>
      <c r="O328" s="2">
        <f t="shared" si="77"/>
        <v>1920250</v>
      </c>
      <c r="P328" s="2">
        <f t="shared" si="78"/>
        <v>498399.09585729614</v>
      </c>
      <c r="Q328" s="3">
        <f t="shared" si="79"/>
        <v>1974983346.8493152</v>
      </c>
      <c r="R328" s="3">
        <f t="shared" si="80"/>
        <v>15713745948.591782</v>
      </c>
      <c r="S328" s="3">
        <f t="shared" si="81"/>
        <v>956934246.57534242</v>
      </c>
      <c r="T328" s="3">
        <f t="shared" si="82"/>
        <v>2123428320.2739725</v>
      </c>
      <c r="U328" s="3">
        <f t="shared" si="83"/>
        <v>10412145975.068493</v>
      </c>
      <c r="V328" s="3">
        <f t="shared" si="84"/>
        <v>10102356335.616438</v>
      </c>
      <c r="W328" s="3">
        <f t="shared" si="85"/>
        <v>680552489.72978151</v>
      </c>
      <c r="X328" s="3">
        <f t="shared" si="86"/>
        <v>248401658751.37027</v>
      </c>
      <c r="Y328" s="3">
        <f t="shared" si="87"/>
        <v>26905622708080.313</v>
      </c>
      <c r="AK328">
        <v>1.1415299999999999</v>
      </c>
      <c r="AL328">
        <v>1000000</v>
      </c>
      <c r="AM328">
        <f t="shared" si="88"/>
        <v>1141530</v>
      </c>
      <c r="AN328">
        <v>1.17075</v>
      </c>
      <c r="AO328">
        <v>1000000</v>
      </c>
      <c r="AP328">
        <f t="shared" si="89"/>
        <v>1170750</v>
      </c>
    </row>
    <row r="329" spans="1:42" x14ac:dyDescent="0.4">
      <c r="A329">
        <v>318</v>
      </c>
      <c r="B329" s="2">
        <v>1745510</v>
      </c>
      <c r="C329" s="2">
        <v>323364</v>
      </c>
      <c r="D329" s="2">
        <f>IF(B329&lt;2500000,2500000,B329)</f>
        <v>2500000</v>
      </c>
      <c r="E329" s="2">
        <v>1674870</v>
      </c>
      <c r="F329" s="2">
        <v>1003460</v>
      </c>
      <c r="G329" s="2">
        <v>1050020</v>
      </c>
      <c r="H329" s="2">
        <v>2557721.3735851808</v>
      </c>
      <c r="I329" s="2">
        <f>32.86*(100000)</f>
        <v>3286000</v>
      </c>
      <c r="J329" s="2">
        <f t="shared" si="72"/>
        <v>1540490</v>
      </c>
      <c r="K329" s="2">
        <f t="shared" si="73"/>
        <v>2962636</v>
      </c>
      <c r="L329" s="2">
        <f t="shared" si="74"/>
        <v>786000</v>
      </c>
      <c r="M329" s="2">
        <f t="shared" si="75"/>
        <v>1611130</v>
      </c>
      <c r="N329" s="2">
        <f t="shared" si="76"/>
        <v>2282540</v>
      </c>
      <c r="O329" s="2">
        <f t="shared" si="77"/>
        <v>2235980</v>
      </c>
      <c r="P329" s="2">
        <f t="shared" si="78"/>
        <v>728278.62641481915</v>
      </c>
      <c r="Q329" s="3">
        <f t="shared" si="79"/>
        <v>6501669698.90411</v>
      </c>
      <c r="R329" s="3">
        <f t="shared" si="80"/>
        <v>24047156352.043835</v>
      </c>
      <c r="S329" s="3">
        <f t="shared" si="81"/>
        <v>1692591780.8219178</v>
      </c>
      <c r="T329" s="3">
        <f t="shared" si="82"/>
        <v>7111616101.09589</v>
      </c>
      <c r="U329" s="3">
        <f t="shared" si="83"/>
        <v>14273942059.178082</v>
      </c>
      <c r="V329" s="3">
        <f t="shared" si="84"/>
        <v>13697552220.273973</v>
      </c>
      <c r="W329" s="3">
        <f t="shared" si="85"/>
        <v>1453122623.815495</v>
      </c>
      <c r="X329" s="3">
        <f t="shared" si="86"/>
        <v>530389757692.6557</v>
      </c>
      <c r="Y329" s="3">
        <f t="shared" si="87"/>
        <v>24920693132737.848</v>
      </c>
      <c r="AK329">
        <v>1.00346</v>
      </c>
      <c r="AL329">
        <v>1000000</v>
      </c>
      <c r="AM329">
        <f t="shared" si="88"/>
        <v>1003460</v>
      </c>
      <c r="AN329">
        <v>1.05002</v>
      </c>
      <c r="AO329">
        <v>1000000</v>
      </c>
      <c r="AP329">
        <f t="shared" si="89"/>
        <v>1050020</v>
      </c>
    </row>
    <row r="330" spans="1:42" x14ac:dyDescent="0.4">
      <c r="A330">
        <v>319</v>
      </c>
      <c r="B330" s="2">
        <v>1413550</v>
      </c>
      <c r="C330" s="2">
        <v>153130</v>
      </c>
      <c r="D330" s="2">
        <f>IF(B330&lt;2500000,2500000,B330)</f>
        <v>2500000</v>
      </c>
      <c r="E330" s="2">
        <v>1318890</v>
      </c>
      <c r="F330" s="2">
        <v>885564</v>
      </c>
      <c r="G330" s="2">
        <v>944612</v>
      </c>
      <c r="H330" s="2">
        <v>2533671.12554903</v>
      </c>
      <c r="I330" s="2">
        <f>32.57*(100000)</f>
        <v>3257000</v>
      </c>
      <c r="J330" s="2">
        <f t="shared" si="72"/>
        <v>1843450</v>
      </c>
      <c r="K330" s="2">
        <f t="shared" si="73"/>
        <v>3103870</v>
      </c>
      <c r="L330" s="2">
        <f t="shared" si="74"/>
        <v>757000</v>
      </c>
      <c r="M330" s="2">
        <f t="shared" si="75"/>
        <v>1938110</v>
      </c>
      <c r="N330" s="2">
        <f t="shared" si="76"/>
        <v>2371436</v>
      </c>
      <c r="O330" s="2">
        <f t="shared" si="77"/>
        <v>2312388</v>
      </c>
      <c r="P330" s="2">
        <f t="shared" si="78"/>
        <v>723328.87445096998</v>
      </c>
      <c r="Q330" s="3">
        <f t="shared" si="79"/>
        <v>9310432609.5890408</v>
      </c>
      <c r="R330" s="3">
        <f t="shared" si="80"/>
        <v>26394545142.19178</v>
      </c>
      <c r="S330" s="3">
        <f t="shared" si="81"/>
        <v>1569997260.2739725</v>
      </c>
      <c r="T330" s="3">
        <f t="shared" si="82"/>
        <v>10291151704.383562</v>
      </c>
      <c r="U330" s="3">
        <f t="shared" si="83"/>
        <v>15407421101.632877</v>
      </c>
      <c r="V330" s="3">
        <f t="shared" si="84"/>
        <v>14649693869.983562</v>
      </c>
      <c r="W330" s="3">
        <f t="shared" si="85"/>
        <v>1433437426.3411152</v>
      </c>
      <c r="X330" s="3">
        <f t="shared" si="86"/>
        <v>523204660614.50708</v>
      </c>
      <c r="Y330" s="3">
        <f t="shared" si="87"/>
        <v>25211073787532.367</v>
      </c>
      <c r="AK330">
        <v>885564</v>
      </c>
      <c r="AM330">
        <f t="shared" si="88"/>
        <v>885564</v>
      </c>
      <c r="AN330">
        <v>944612</v>
      </c>
      <c r="AP330">
        <f t="shared" si="89"/>
        <v>944612</v>
      </c>
    </row>
    <row r="331" spans="1:42" x14ac:dyDescent="0.4">
      <c r="A331">
        <v>320</v>
      </c>
      <c r="B331" s="2">
        <v>5632860</v>
      </c>
      <c r="C331" s="2">
        <v>21662000</v>
      </c>
      <c r="D331" s="2">
        <f>IF(B331&lt;2500000,2500000,B331)</f>
        <v>5632860</v>
      </c>
      <c r="E331" s="2">
        <v>5895210</v>
      </c>
      <c r="F331" s="2">
        <v>2361140</v>
      </c>
      <c r="G331" s="2">
        <v>1913890</v>
      </c>
      <c r="H331" s="2">
        <v>3753810.2632822711</v>
      </c>
      <c r="I331" s="2">
        <f>32.89*(100000)</f>
        <v>3289000</v>
      </c>
      <c r="J331" s="2">
        <f t="shared" si="72"/>
        <v>2343860</v>
      </c>
      <c r="K331" s="2">
        <f t="shared" si="73"/>
        <v>18373000</v>
      </c>
      <c r="L331" s="2">
        <f t="shared" si="74"/>
        <v>2343860</v>
      </c>
      <c r="M331" s="2">
        <f t="shared" si="75"/>
        <v>2606210</v>
      </c>
      <c r="N331" s="2">
        <f t="shared" si="76"/>
        <v>927860</v>
      </c>
      <c r="O331" s="2">
        <f t="shared" si="77"/>
        <v>1375110</v>
      </c>
      <c r="P331" s="2">
        <f t="shared" si="78"/>
        <v>464810.2632822711</v>
      </c>
      <c r="Q331" s="3">
        <f t="shared" si="79"/>
        <v>15051177259.178082</v>
      </c>
      <c r="R331" s="3">
        <f t="shared" si="80"/>
        <v>924841449315.06848</v>
      </c>
      <c r="S331" s="3">
        <f t="shared" si="81"/>
        <v>15051177259.178082</v>
      </c>
      <c r="T331" s="3">
        <f t="shared" si="82"/>
        <v>18609124833.150684</v>
      </c>
      <c r="U331" s="3">
        <f t="shared" si="83"/>
        <v>2358696382.4657536</v>
      </c>
      <c r="V331" s="3">
        <f t="shared" si="84"/>
        <v>5180623320.8219175</v>
      </c>
      <c r="W331" s="3">
        <f t="shared" si="85"/>
        <v>591913920.14392924</v>
      </c>
      <c r="X331" s="3">
        <f t="shared" si="86"/>
        <v>216048580852.53418</v>
      </c>
      <c r="Y331" s="3">
        <f t="shared" si="87"/>
        <v>24890749754655.656</v>
      </c>
      <c r="AK331">
        <v>2.3611399999999998</v>
      </c>
      <c r="AL331">
        <v>1000000</v>
      </c>
      <c r="AM331">
        <f t="shared" si="88"/>
        <v>2361140</v>
      </c>
      <c r="AN331">
        <v>1.9138900000000001</v>
      </c>
      <c r="AO331">
        <v>1000000</v>
      </c>
      <c r="AP331">
        <f t="shared" si="89"/>
        <v>1913890</v>
      </c>
    </row>
    <row r="332" spans="1:42" x14ac:dyDescent="0.4">
      <c r="A332">
        <v>321</v>
      </c>
      <c r="B332" s="2">
        <v>6375370</v>
      </c>
      <c r="C332" s="2">
        <v>9754090</v>
      </c>
      <c r="D332" s="2">
        <f>IF(B332&lt;2500000,2500000,B332)</f>
        <v>6375370</v>
      </c>
      <c r="E332" s="2">
        <v>6589460</v>
      </c>
      <c r="F332" s="2">
        <v>2134600</v>
      </c>
      <c r="G332" s="2">
        <v>2058749.9999999998</v>
      </c>
      <c r="H332" s="2">
        <v>2783765.2104980722</v>
      </c>
      <c r="I332" s="2">
        <f>32.63*(100000)</f>
        <v>3263000.0000000005</v>
      </c>
      <c r="J332" s="2">
        <f t="shared" ref="J332:J375" si="90">ABS(I332-B332)</f>
        <v>3112369.9999999995</v>
      </c>
      <c r="K332" s="2">
        <f t="shared" ref="K332:K375" si="91">ABS(I332-C332)</f>
        <v>6491090</v>
      </c>
      <c r="L332" s="2">
        <f t="shared" ref="L332:L375" si="92">ABS(I332-D332)</f>
        <v>3112369.9999999995</v>
      </c>
      <c r="M332" s="2">
        <f t="shared" ref="M332:M375" si="93">ABS($I332-E332)</f>
        <v>3326459.9999999995</v>
      </c>
      <c r="N332" s="2">
        <f t="shared" ref="N332:N375" si="94">ABS($I332-F332)</f>
        <v>1128400.0000000005</v>
      </c>
      <c r="O332" s="2">
        <f t="shared" ref="O332:O375" si="95">ABS($I332-G332)</f>
        <v>1204250.0000000007</v>
      </c>
      <c r="P332" s="2">
        <f t="shared" ref="P332:P375" si="96">ABS(I332-H332)</f>
        <v>479234.78950192826</v>
      </c>
      <c r="Q332" s="3">
        <f t="shared" ref="Q332:Q375" si="97">J332^2/COUNT($A$11:$A$375)</f>
        <v>26539306895.616432</v>
      </c>
      <c r="R332" s="3">
        <f t="shared" ref="R332:R375" si="98">K332^2/COUNT($A$11:$A$375)</f>
        <v>115436299693.42465</v>
      </c>
      <c r="S332" s="3">
        <f t="shared" ref="S332:S375" si="99">L332^2/COUNT($A$11:$A$375)</f>
        <v>26539306895.616432</v>
      </c>
      <c r="T332" s="3">
        <f t="shared" ref="T332:T375" si="100">M332^2/COUNT($A$11:$A$375)</f>
        <v>30315989401.643826</v>
      </c>
      <c r="U332" s="3">
        <f t="shared" ref="U332:U375" si="101">N332^2/COUNT($A$11:$A$375)</f>
        <v>3488456328.7671261</v>
      </c>
      <c r="V332" s="3">
        <f t="shared" ref="V332:V375" si="102">O332^2/COUNT($A$11:$A$375)</f>
        <v>3973200171.2328815</v>
      </c>
      <c r="W332" s="3">
        <f t="shared" ref="W332:W375" si="103">P332^2/COUNT($A$11:$A$375)</f>
        <v>629221872.51769173</v>
      </c>
      <c r="X332" s="3">
        <f t="shared" ref="X332:X375" si="104">P332^2</f>
        <v>229665983468.95749</v>
      </c>
      <c r="Y332" s="3">
        <f t="shared" ref="Y332:Y375" si="105">(I332-AVERAGE($I$11:$I$375))^2</f>
        <v>25150857031367.984</v>
      </c>
      <c r="AK332">
        <v>2.1345999999999998</v>
      </c>
      <c r="AL332">
        <v>1000000</v>
      </c>
      <c r="AM332">
        <f t="shared" ref="AM332:AM375" si="106">IF(AL332="",AK332,AK332*AL332)</f>
        <v>2134600</v>
      </c>
      <c r="AN332">
        <v>2.0587499999999999</v>
      </c>
      <c r="AO332">
        <v>1000000</v>
      </c>
      <c r="AP332">
        <f t="shared" ref="AP332:AP375" si="107">IF(AO332="",AN332,AN332*AO332)</f>
        <v>2058749.9999999998</v>
      </c>
    </row>
    <row r="333" spans="1:42" x14ac:dyDescent="0.4">
      <c r="A333">
        <v>322</v>
      </c>
      <c r="B333" s="2">
        <v>6107460</v>
      </c>
      <c r="C333" s="2">
        <v>6700160</v>
      </c>
      <c r="D333" s="2">
        <f>IF(B333&lt;2500000,2500000,B333)</f>
        <v>6107460</v>
      </c>
      <c r="E333" s="2">
        <v>6249070</v>
      </c>
      <c r="F333" s="2">
        <v>2028130</v>
      </c>
      <c r="G333" s="2">
        <v>1957580</v>
      </c>
      <c r="H333" s="2">
        <v>2951169.243957777</v>
      </c>
      <c r="I333" s="2">
        <f>32.18*(100000)</f>
        <v>3218000</v>
      </c>
      <c r="J333" s="2">
        <f t="shared" si="90"/>
        <v>2889460</v>
      </c>
      <c r="K333" s="2">
        <f t="shared" si="91"/>
        <v>3482160</v>
      </c>
      <c r="L333" s="2">
        <f t="shared" si="92"/>
        <v>2889460</v>
      </c>
      <c r="M333" s="2">
        <f t="shared" si="93"/>
        <v>3031070</v>
      </c>
      <c r="N333" s="2">
        <f t="shared" si="94"/>
        <v>1189870</v>
      </c>
      <c r="O333" s="2">
        <f t="shared" si="95"/>
        <v>1260420</v>
      </c>
      <c r="P333" s="2">
        <f t="shared" si="96"/>
        <v>266830.75604222296</v>
      </c>
      <c r="Q333" s="3">
        <f t="shared" si="97"/>
        <v>22873915319.452053</v>
      </c>
      <c r="R333" s="3">
        <f t="shared" si="98"/>
        <v>33220378809.863014</v>
      </c>
      <c r="S333" s="3">
        <f t="shared" si="99"/>
        <v>22873915319.452053</v>
      </c>
      <c r="T333" s="3">
        <f t="shared" si="100"/>
        <v>25170918753.150684</v>
      </c>
      <c r="U333" s="3">
        <f t="shared" si="101"/>
        <v>3878878402.4657536</v>
      </c>
      <c r="V333" s="3">
        <f t="shared" si="102"/>
        <v>4352489250.4109592</v>
      </c>
      <c r="W333" s="3">
        <f t="shared" si="103"/>
        <v>195064801.0138748</v>
      </c>
      <c r="X333" s="3">
        <f t="shared" si="104"/>
        <v>71198652370.064301</v>
      </c>
      <c r="Y333" s="3">
        <f t="shared" si="105"/>
        <v>25604237702600.863</v>
      </c>
      <c r="AK333">
        <v>2.02813</v>
      </c>
      <c r="AL333">
        <v>1000000</v>
      </c>
      <c r="AM333">
        <f t="shared" si="106"/>
        <v>2028130</v>
      </c>
      <c r="AN333">
        <v>1.9575800000000001</v>
      </c>
      <c r="AO333">
        <v>1000000</v>
      </c>
      <c r="AP333">
        <f t="shared" si="107"/>
        <v>1957580</v>
      </c>
    </row>
    <row r="334" spans="1:42" x14ac:dyDescent="0.4">
      <c r="A334">
        <v>323</v>
      </c>
      <c r="B334" s="2">
        <v>4810430</v>
      </c>
      <c r="C334" s="2">
        <v>2540120</v>
      </c>
      <c r="D334" s="2">
        <f>IF(B334&lt;2500000,2500000,B334)</f>
        <v>4810430</v>
      </c>
      <c r="E334" s="2">
        <v>4849080</v>
      </c>
      <c r="F334" s="2">
        <v>1736090</v>
      </c>
      <c r="G334" s="2">
        <v>1753360</v>
      </c>
      <c r="H334" s="2">
        <v>2775934.6382258399</v>
      </c>
      <c r="I334" s="2">
        <f>30.89*(100000)</f>
        <v>3089000</v>
      </c>
      <c r="J334" s="2">
        <f t="shared" si="90"/>
        <v>1721430</v>
      </c>
      <c r="K334" s="2">
        <f t="shared" si="91"/>
        <v>548880</v>
      </c>
      <c r="L334" s="2">
        <f t="shared" si="92"/>
        <v>1721430</v>
      </c>
      <c r="M334" s="2">
        <f t="shared" si="93"/>
        <v>1760080</v>
      </c>
      <c r="N334" s="2">
        <f t="shared" si="94"/>
        <v>1352910</v>
      </c>
      <c r="O334" s="2">
        <f t="shared" si="95"/>
        <v>1335640</v>
      </c>
      <c r="P334" s="2">
        <f t="shared" si="96"/>
        <v>313065.36177416006</v>
      </c>
      <c r="Q334" s="3">
        <f t="shared" si="97"/>
        <v>8118688342.191781</v>
      </c>
      <c r="R334" s="3">
        <f t="shared" si="98"/>
        <v>825395217.53424656</v>
      </c>
      <c r="S334" s="3">
        <f t="shared" si="99"/>
        <v>8118688342.191781</v>
      </c>
      <c r="T334" s="3">
        <f t="shared" si="100"/>
        <v>8487346866.8493147</v>
      </c>
      <c r="U334" s="3">
        <f t="shared" si="101"/>
        <v>5014699912.6027393</v>
      </c>
      <c r="V334" s="3">
        <f t="shared" si="102"/>
        <v>4887490985.2054796</v>
      </c>
      <c r="W334" s="3">
        <f t="shared" si="103"/>
        <v>268520330.80215263</v>
      </c>
      <c r="X334" s="3">
        <f t="shared" si="104"/>
        <v>98009920742.785721</v>
      </c>
      <c r="Y334" s="3">
        <f t="shared" si="105"/>
        <v>26926374960135.109</v>
      </c>
      <c r="AK334">
        <v>1.7360899999999999</v>
      </c>
      <c r="AL334">
        <v>1000000</v>
      </c>
      <c r="AM334">
        <f t="shared" si="106"/>
        <v>1736090</v>
      </c>
      <c r="AN334">
        <v>1.75336</v>
      </c>
      <c r="AO334">
        <v>1000000</v>
      </c>
      <c r="AP334">
        <f t="shared" si="107"/>
        <v>1753360</v>
      </c>
    </row>
    <row r="335" spans="1:42" x14ac:dyDescent="0.4">
      <c r="A335">
        <v>324</v>
      </c>
      <c r="B335" s="2">
        <v>3459470</v>
      </c>
      <c r="C335" s="2">
        <v>1132990</v>
      </c>
      <c r="D335" s="2">
        <f>IF(B335&lt;2500000,2500000,B335)</f>
        <v>3459470</v>
      </c>
      <c r="E335" s="2">
        <v>3420230</v>
      </c>
      <c r="F335" s="2">
        <v>1513960</v>
      </c>
      <c r="G335" s="2">
        <v>1558980</v>
      </c>
      <c r="H335" s="2">
        <v>2704501.136338016</v>
      </c>
      <c r="I335" s="2">
        <f>30.65*(100000)</f>
        <v>3065000</v>
      </c>
      <c r="J335" s="2">
        <f t="shared" si="90"/>
        <v>394470</v>
      </c>
      <c r="K335" s="2">
        <f t="shared" si="91"/>
        <v>1932010</v>
      </c>
      <c r="L335" s="2">
        <f t="shared" si="92"/>
        <v>394470</v>
      </c>
      <c r="M335" s="2">
        <f t="shared" si="93"/>
        <v>355230</v>
      </c>
      <c r="N335" s="2">
        <f t="shared" si="94"/>
        <v>1551040</v>
      </c>
      <c r="O335" s="2">
        <f t="shared" si="95"/>
        <v>1506020</v>
      </c>
      <c r="P335" s="2">
        <f t="shared" si="96"/>
        <v>360498.86366198398</v>
      </c>
      <c r="Q335" s="3">
        <f t="shared" si="97"/>
        <v>426319399.72602737</v>
      </c>
      <c r="R335" s="3">
        <f t="shared" si="98"/>
        <v>10226472986.575342</v>
      </c>
      <c r="S335" s="3">
        <f t="shared" si="99"/>
        <v>426319399.72602737</v>
      </c>
      <c r="T335" s="3">
        <f t="shared" si="100"/>
        <v>345721514.79452056</v>
      </c>
      <c r="U335" s="3">
        <f t="shared" si="101"/>
        <v>6591027620.8219175</v>
      </c>
      <c r="V335" s="3">
        <f t="shared" si="102"/>
        <v>6213962302.4657536</v>
      </c>
      <c r="W335" s="3">
        <f t="shared" si="103"/>
        <v>356053234.79885399</v>
      </c>
      <c r="X335" s="3">
        <f t="shared" si="104"/>
        <v>129959430701.58171</v>
      </c>
      <c r="Y335" s="3">
        <f t="shared" si="105"/>
        <v>27176025984792.645</v>
      </c>
      <c r="AK335">
        <v>1.51396</v>
      </c>
      <c r="AL335">
        <v>1000000</v>
      </c>
      <c r="AM335">
        <f t="shared" si="106"/>
        <v>1513960</v>
      </c>
      <c r="AN335">
        <v>1.55898</v>
      </c>
      <c r="AO335">
        <v>1000000</v>
      </c>
      <c r="AP335">
        <f t="shared" si="107"/>
        <v>1558980</v>
      </c>
    </row>
    <row r="336" spans="1:42" x14ac:dyDescent="0.4">
      <c r="A336">
        <v>325</v>
      </c>
      <c r="B336" s="2">
        <v>2432440</v>
      </c>
      <c r="C336" s="2">
        <v>521041</v>
      </c>
      <c r="D336" s="2">
        <f>IF(B336&lt;2500000,2500000,B336)</f>
        <v>2500000</v>
      </c>
      <c r="E336" s="2">
        <v>2341860</v>
      </c>
      <c r="F336" s="2">
        <v>1328400</v>
      </c>
      <c r="G336" s="2">
        <v>1395160</v>
      </c>
      <c r="H336" s="2">
        <v>2634041.201541496</v>
      </c>
      <c r="I336" s="2">
        <f>32.26*(100000)</f>
        <v>3226000</v>
      </c>
      <c r="J336" s="2">
        <f t="shared" si="90"/>
        <v>793560</v>
      </c>
      <c r="K336" s="2">
        <f t="shared" si="91"/>
        <v>2704959</v>
      </c>
      <c r="L336" s="2">
        <f t="shared" si="92"/>
        <v>726000</v>
      </c>
      <c r="M336" s="2">
        <f t="shared" si="93"/>
        <v>884140</v>
      </c>
      <c r="N336" s="2">
        <f t="shared" si="94"/>
        <v>1897600</v>
      </c>
      <c r="O336" s="2">
        <f t="shared" si="95"/>
        <v>1830840</v>
      </c>
      <c r="P336" s="2">
        <f t="shared" si="96"/>
        <v>591958.79845850402</v>
      </c>
      <c r="Q336" s="3">
        <f t="shared" si="97"/>
        <v>1725308146.8493152</v>
      </c>
      <c r="R336" s="3">
        <f t="shared" si="98"/>
        <v>20046036141.591782</v>
      </c>
      <c r="S336" s="3">
        <f t="shared" si="99"/>
        <v>1444043835.6164384</v>
      </c>
      <c r="T336" s="3">
        <f t="shared" si="100"/>
        <v>2141653533.1506848</v>
      </c>
      <c r="U336" s="3">
        <f t="shared" si="101"/>
        <v>9865440438.3561649</v>
      </c>
      <c r="V336" s="3">
        <f t="shared" si="102"/>
        <v>9183493440</v>
      </c>
      <c r="W336" s="3">
        <f t="shared" si="103"/>
        <v>960041696.08886516</v>
      </c>
      <c r="X336" s="3">
        <f t="shared" si="104"/>
        <v>350415219072.43579</v>
      </c>
      <c r="Y336" s="3">
        <f t="shared" si="105"/>
        <v>25523340694381.684</v>
      </c>
      <c r="AK336">
        <v>1.3284</v>
      </c>
      <c r="AL336">
        <v>1000000</v>
      </c>
      <c r="AM336">
        <f t="shared" si="106"/>
        <v>1328400</v>
      </c>
      <c r="AN336">
        <v>1.39516</v>
      </c>
      <c r="AO336">
        <v>1000000</v>
      </c>
      <c r="AP336">
        <f t="shared" si="107"/>
        <v>1395160</v>
      </c>
    </row>
    <row r="337" spans="1:42" x14ac:dyDescent="0.4">
      <c r="A337">
        <v>326</v>
      </c>
      <c r="B337" s="2">
        <v>1885420</v>
      </c>
      <c r="C337" s="2">
        <v>245073</v>
      </c>
      <c r="D337" s="2">
        <f>IF(B337&lt;2500000,2500000,B337)</f>
        <v>2500000</v>
      </c>
      <c r="E337" s="2">
        <v>1763140</v>
      </c>
      <c r="F337" s="2">
        <v>1169610</v>
      </c>
      <c r="G337" s="2">
        <v>1253010</v>
      </c>
      <c r="H337" s="2">
        <v>2586105.7012094231</v>
      </c>
      <c r="I337" s="2">
        <f>32.76*(100000)</f>
        <v>3276000</v>
      </c>
      <c r="J337" s="2">
        <f t="shared" si="90"/>
        <v>1390580</v>
      </c>
      <c r="K337" s="2">
        <f t="shared" si="91"/>
        <v>3030927</v>
      </c>
      <c r="L337" s="2">
        <f t="shared" si="92"/>
        <v>776000</v>
      </c>
      <c r="M337" s="2">
        <f t="shared" si="93"/>
        <v>1512860</v>
      </c>
      <c r="N337" s="2">
        <f t="shared" si="94"/>
        <v>2106390</v>
      </c>
      <c r="O337" s="2">
        <f t="shared" si="95"/>
        <v>2022990</v>
      </c>
      <c r="P337" s="2">
        <f t="shared" si="96"/>
        <v>689894.29879057687</v>
      </c>
      <c r="Q337" s="3">
        <f t="shared" si="97"/>
        <v>5297843113.4246578</v>
      </c>
      <c r="R337" s="3">
        <f t="shared" si="98"/>
        <v>25168543778.983562</v>
      </c>
      <c r="S337" s="3">
        <f t="shared" si="99"/>
        <v>1649797260.2739725</v>
      </c>
      <c r="T337" s="3">
        <f t="shared" si="100"/>
        <v>6270535286.5753422</v>
      </c>
      <c r="U337" s="3">
        <f t="shared" si="101"/>
        <v>12155832416.712328</v>
      </c>
      <c r="V337" s="3">
        <f t="shared" si="102"/>
        <v>11212297370.136986</v>
      </c>
      <c r="W337" s="3">
        <f t="shared" si="103"/>
        <v>1303983954.8047719</v>
      </c>
      <c r="X337" s="3">
        <f t="shared" si="104"/>
        <v>475954143503.74176</v>
      </c>
      <c r="Y337" s="3">
        <f t="shared" si="105"/>
        <v>25020634393011.82</v>
      </c>
      <c r="AK337">
        <v>1.16961</v>
      </c>
      <c r="AL337">
        <v>1000000</v>
      </c>
      <c r="AM337">
        <f t="shared" si="106"/>
        <v>1169610</v>
      </c>
      <c r="AN337">
        <v>1.25301</v>
      </c>
      <c r="AO337">
        <v>1000000</v>
      </c>
      <c r="AP337">
        <f t="shared" si="107"/>
        <v>1253010</v>
      </c>
    </row>
    <row r="338" spans="1:42" x14ac:dyDescent="0.4">
      <c r="A338">
        <v>327</v>
      </c>
      <c r="B338" s="2">
        <v>1523920</v>
      </c>
      <c r="C338" s="2">
        <v>117015</v>
      </c>
      <c r="D338" s="2">
        <f>IF(B338&lt;2500000,2500000,B338)</f>
        <v>2500000</v>
      </c>
      <c r="E338" s="2">
        <v>1384420</v>
      </c>
      <c r="F338" s="2">
        <v>1032820.0000000001</v>
      </c>
      <c r="G338" s="2">
        <v>1128170</v>
      </c>
      <c r="H338" s="2">
        <v>2553164.388885479</v>
      </c>
      <c r="I338" s="2">
        <f>32.76*(100000)</f>
        <v>3276000</v>
      </c>
      <c r="J338" s="2">
        <f t="shared" si="90"/>
        <v>1752080</v>
      </c>
      <c r="K338" s="2">
        <f t="shared" si="91"/>
        <v>3158985</v>
      </c>
      <c r="L338" s="2">
        <f t="shared" si="92"/>
        <v>776000</v>
      </c>
      <c r="M338" s="2">
        <f t="shared" si="93"/>
        <v>1891580</v>
      </c>
      <c r="N338" s="2">
        <f t="shared" si="94"/>
        <v>2243180</v>
      </c>
      <c r="O338" s="2">
        <f t="shared" si="95"/>
        <v>2147830</v>
      </c>
      <c r="P338" s="2">
        <f t="shared" si="96"/>
        <v>722835.61111452105</v>
      </c>
      <c r="Q338" s="3">
        <f t="shared" si="97"/>
        <v>8410368017.5342464</v>
      </c>
      <c r="R338" s="3">
        <f t="shared" si="98"/>
        <v>27340236247.19178</v>
      </c>
      <c r="S338" s="3">
        <f t="shared" si="99"/>
        <v>1649797260.2739725</v>
      </c>
      <c r="T338" s="3">
        <f t="shared" si="100"/>
        <v>9802944921.6438351</v>
      </c>
      <c r="U338" s="3">
        <f t="shared" si="101"/>
        <v>13785908253.150684</v>
      </c>
      <c r="V338" s="3">
        <f t="shared" si="102"/>
        <v>12638832079.178082</v>
      </c>
      <c r="W338" s="3">
        <f t="shared" si="103"/>
        <v>1431483070.3980906</v>
      </c>
      <c r="X338" s="3">
        <f t="shared" si="104"/>
        <v>522491320695.3031</v>
      </c>
      <c r="Y338" s="3">
        <f t="shared" si="105"/>
        <v>25020634393011.82</v>
      </c>
      <c r="AK338">
        <v>1.0328200000000001</v>
      </c>
      <c r="AL338">
        <v>1000000</v>
      </c>
      <c r="AM338">
        <f t="shared" si="106"/>
        <v>1032820.0000000001</v>
      </c>
      <c r="AN338">
        <v>1.1281699999999999</v>
      </c>
      <c r="AO338">
        <v>1000000</v>
      </c>
      <c r="AP338">
        <f t="shared" si="107"/>
        <v>1128170</v>
      </c>
    </row>
    <row r="339" spans="1:42" x14ac:dyDescent="0.4">
      <c r="A339">
        <v>328</v>
      </c>
      <c r="B339" s="2">
        <v>1252690</v>
      </c>
      <c r="C339" s="2">
        <v>56415.9</v>
      </c>
      <c r="D339" s="2">
        <f>IF(B339&lt;2500000,2500000,B339)</f>
        <v>2500000</v>
      </c>
      <c r="E339" s="2">
        <v>1106290</v>
      </c>
      <c r="F339" s="2">
        <v>913944</v>
      </c>
      <c r="G339" s="2">
        <v>1017709.9999999999</v>
      </c>
      <c r="H339" s="2">
        <v>2530548.5546217151</v>
      </c>
      <c r="I339" s="2">
        <f>32.2*(100000)</f>
        <v>3220000.0000000005</v>
      </c>
      <c r="J339" s="2">
        <f t="shared" si="90"/>
        <v>1967310.0000000005</v>
      </c>
      <c r="K339" s="2">
        <f t="shared" si="91"/>
        <v>3163584.1000000006</v>
      </c>
      <c r="L339" s="2">
        <f t="shared" si="92"/>
        <v>720000.00000000047</v>
      </c>
      <c r="M339" s="2">
        <f t="shared" si="93"/>
        <v>2113710.0000000005</v>
      </c>
      <c r="N339" s="2">
        <f t="shared" si="94"/>
        <v>2306056.0000000005</v>
      </c>
      <c r="O339" s="2">
        <f t="shared" si="95"/>
        <v>2202290.0000000005</v>
      </c>
      <c r="P339" s="2">
        <f t="shared" si="96"/>
        <v>689451.44537828537</v>
      </c>
      <c r="Q339" s="3">
        <f t="shared" si="97"/>
        <v>10603585304.383568</v>
      </c>
      <c r="R339" s="3">
        <f t="shared" si="98"/>
        <v>27419902350.062504</v>
      </c>
      <c r="S339" s="3">
        <f t="shared" si="99"/>
        <v>1420273972.6027415</v>
      </c>
      <c r="T339" s="3">
        <f t="shared" si="100"/>
        <v>12240465655.068499</v>
      </c>
      <c r="U339" s="3">
        <f t="shared" si="101"/>
        <v>14569573356.536991</v>
      </c>
      <c r="V339" s="3">
        <f t="shared" si="102"/>
        <v>13287893819.452061</v>
      </c>
      <c r="W339" s="3">
        <f t="shared" si="103"/>
        <v>1302310398.7238543</v>
      </c>
      <c r="X339" s="3">
        <f t="shared" si="104"/>
        <v>475343295534.20679</v>
      </c>
      <c r="Y339" s="3">
        <f t="shared" si="105"/>
        <v>25584001450546.066</v>
      </c>
      <c r="AK339">
        <v>913944</v>
      </c>
      <c r="AM339">
        <f t="shared" si="106"/>
        <v>913944</v>
      </c>
      <c r="AN339">
        <v>1.0177099999999999</v>
      </c>
      <c r="AO339">
        <v>1000000</v>
      </c>
      <c r="AP339">
        <f t="shared" si="107"/>
        <v>1017709.9999999999</v>
      </c>
    </row>
    <row r="340" spans="1:42" x14ac:dyDescent="0.4">
      <c r="A340">
        <v>329</v>
      </c>
      <c r="B340" s="2">
        <v>1034950</v>
      </c>
      <c r="C340" s="2">
        <v>27367.4</v>
      </c>
      <c r="D340" s="2">
        <f>IF(B340&lt;2500000,2500000,B340)</f>
        <v>2500000</v>
      </c>
      <c r="E340" s="2">
        <v>888404</v>
      </c>
      <c r="F340" s="2">
        <v>808047</v>
      </c>
      <c r="G340" s="2">
        <v>918188</v>
      </c>
      <c r="H340" s="2">
        <v>2515020.286957765</v>
      </c>
      <c r="I340" s="2">
        <f>31.97*(100000)</f>
        <v>3197000</v>
      </c>
      <c r="J340" s="2">
        <f t="shared" si="90"/>
        <v>2162050</v>
      </c>
      <c r="K340" s="2">
        <f t="shared" si="91"/>
        <v>3169632.6</v>
      </c>
      <c r="L340" s="2">
        <f t="shared" si="92"/>
        <v>697000</v>
      </c>
      <c r="M340" s="2">
        <f t="shared" si="93"/>
        <v>2308596</v>
      </c>
      <c r="N340" s="2">
        <f t="shared" si="94"/>
        <v>2388953</v>
      </c>
      <c r="O340" s="2">
        <f t="shared" si="95"/>
        <v>2278812</v>
      </c>
      <c r="P340" s="2">
        <f t="shared" si="96"/>
        <v>681979.713042235</v>
      </c>
      <c r="Q340" s="3">
        <f t="shared" si="97"/>
        <v>12806740280.821918</v>
      </c>
      <c r="R340" s="3">
        <f t="shared" si="98"/>
        <v>27524851558.856876</v>
      </c>
      <c r="S340" s="3">
        <f t="shared" si="99"/>
        <v>1330983561.6438355</v>
      </c>
      <c r="T340" s="3">
        <f t="shared" si="100"/>
        <v>14601686277.30411</v>
      </c>
      <c r="U340" s="3">
        <f t="shared" si="101"/>
        <v>15635880647.147945</v>
      </c>
      <c r="V340" s="3">
        <f t="shared" si="102"/>
        <v>14227353784.50411</v>
      </c>
      <c r="W340" s="3">
        <f t="shared" si="103"/>
        <v>1274236517.8114223</v>
      </c>
      <c r="X340" s="3">
        <f t="shared" si="104"/>
        <v>465096329001.16919</v>
      </c>
      <c r="Y340" s="3">
        <f t="shared" si="105"/>
        <v>25817201349176.203</v>
      </c>
      <c r="AK340">
        <v>808047</v>
      </c>
      <c r="AM340">
        <f t="shared" si="106"/>
        <v>808047</v>
      </c>
      <c r="AN340">
        <v>918188</v>
      </c>
      <c r="AP340">
        <f t="shared" si="107"/>
        <v>918188</v>
      </c>
    </row>
    <row r="341" spans="1:42" x14ac:dyDescent="0.4">
      <c r="A341">
        <v>330</v>
      </c>
      <c r="B341" s="2">
        <v>854820</v>
      </c>
      <c r="C341" s="2">
        <v>13327.1</v>
      </c>
      <c r="D341" s="2">
        <f>IF(B341&lt;2500000,2500000,B341)</f>
        <v>2500000</v>
      </c>
      <c r="E341" s="2">
        <v>712662</v>
      </c>
      <c r="F341" s="2">
        <v>713448</v>
      </c>
      <c r="G341" s="2">
        <v>827651</v>
      </c>
      <c r="H341" s="2">
        <v>2504358.5056377598</v>
      </c>
      <c r="I341" s="2">
        <f>32.18*(100000)</f>
        <v>3218000</v>
      </c>
      <c r="J341" s="2">
        <f t="shared" si="90"/>
        <v>2363180</v>
      </c>
      <c r="K341" s="2">
        <f t="shared" si="91"/>
        <v>3204672.9</v>
      </c>
      <c r="L341" s="2">
        <f t="shared" si="92"/>
        <v>718000</v>
      </c>
      <c r="M341" s="2">
        <f t="shared" si="93"/>
        <v>2505338</v>
      </c>
      <c r="N341" s="2">
        <f t="shared" si="94"/>
        <v>2504552</v>
      </c>
      <c r="O341" s="2">
        <f t="shared" si="95"/>
        <v>2390349</v>
      </c>
      <c r="P341" s="2">
        <f t="shared" si="96"/>
        <v>713641.49436224019</v>
      </c>
      <c r="Q341" s="3">
        <f t="shared" si="97"/>
        <v>15300327979.178082</v>
      </c>
      <c r="R341" s="3">
        <f t="shared" si="98"/>
        <v>28136790126.012081</v>
      </c>
      <c r="S341" s="3">
        <f t="shared" si="99"/>
        <v>1412394520.5479453</v>
      </c>
      <c r="T341" s="3">
        <f t="shared" si="100"/>
        <v>17196489025.326027</v>
      </c>
      <c r="U341" s="3">
        <f t="shared" si="101"/>
        <v>17185700604.668491</v>
      </c>
      <c r="V341" s="3">
        <f t="shared" si="102"/>
        <v>15654159840.550686</v>
      </c>
      <c r="W341" s="3">
        <f t="shared" si="103"/>
        <v>1395299130.0700583</v>
      </c>
      <c r="X341" s="3">
        <f t="shared" si="104"/>
        <v>509284182475.57129</v>
      </c>
      <c r="Y341" s="3">
        <f t="shared" si="105"/>
        <v>25604237702600.863</v>
      </c>
      <c r="AK341">
        <v>713448</v>
      </c>
      <c r="AM341">
        <f t="shared" si="106"/>
        <v>713448</v>
      </c>
      <c r="AN341">
        <v>827651</v>
      </c>
      <c r="AP341">
        <f t="shared" si="107"/>
        <v>827651</v>
      </c>
    </row>
    <row r="342" spans="1:42" x14ac:dyDescent="0.4">
      <c r="A342">
        <v>331</v>
      </c>
      <c r="B342" s="2">
        <v>1476680</v>
      </c>
      <c r="C342" s="2">
        <v>3728430</v>
      </c>
      <c r="D342" s="2">
        <f>IF(B342&lt;2500000,2500000,B342)</f>
        <v>2500000</v>
      </c>
      <c r="E342" s="2">
        <v>1405940</v>
      </c>
      <c r="F342" s="2">
        <v>902491</v>
      </c>
      <c r="G342" s="2">
        <v>929253</v>
      </c>
      <c r="H342" s="2">
        <v>2666490.8693051031</v>
      </c>
      <c r="I342" s="2">
        <f>33.24*(100000)</f>
        <v>3324000</v>
      </c>
      <c r="J342" s="2">
        <f t="shared" si="90"/>
        <v>1847320</v>
      </c>
      <c r="K342" s="2">
        <f t="shared" si="91"/>
        <v>404430</v>
      </c>
      <c r="L342" s="2">
        <f t="shared" si="92"/>
        <v>824000</v>
      </c>
      <c r="M342" s="2">
        <f t="shared" si="93"/>
        <v>1918060</v>
      </c>
      <c r="N342" s="2">
        <f t="shared" si="94"/>
        <v>2421509</v>
      </c>
      <c r="O342" s="2">
        <f t="shared" si="95"/>
        <v>2394747</v>
      </c>
      <c r="P342" s="2">
        <f t="shared" si="96"/>
        <v>657509.13069489691</v>
      </c>
      <c r="Q342" s="3">
        <f t="shared" si="97"/>
        <v>9349564883.287672</v>
      </c>
      <c r="R342" s="3">
        <f t="shared" si="98"/>
        <v>448119520.27397263</v>
      </c>
      <c r="S342" s="3">
        <f t="shared" si="99"/>
        <v>1860208219.1780822</v>
      </c>
      <c r="T342" s="3">
        <f t="shared" si="100"/>
        <v>10079326475.616438</v>
      </c>
      <c r="U342" s="3">
        <f t="shared" si="101"/>
        <v>16064947498.852055</v>
      </c>
      <c r="V342" s="3">
        <f t="shared" si="102"/>
        <v>15711816969.887671</v>
      </c>
      <c r="W342" s="3">
        <f t="shared" si="103"/>
        <v>1184433580.6771481</v>
      </c>
      <c r="X342" s="3">
        <f t="shared" si="104"/>
        <v>432318256947.15906</v>
      </c>
      <c r="Y342" s="3">
        <f t="shared" si="105"/>
        <v>24542740343696.754</v>
      </c>
      <c r="AK342">
        <v>902491</v>
      </c>
      <c r="AM342">
        <f t="shared" si="106"/>
        <v>902491</v>
      </c>
      <c r="AN342">
        <v>929253</v>
      </c>
      <c r="AP342">
        <f t="shared" si="107"/>
        <v>929253</v>
      </c>
    </row>
    <row r="343" spans="1:42" x14ac:dyDescent="0.4">
      <c r="A343">
        <v>332</v>
      </c>
      <c r="B343" s="2">
        <v>1416430</v>
      </c>
      <c r="C343" s="2">
        <v>1119280</v>
      </c>
      <c r="D343" s="2">
        <f>IF(B343&lt;2500000,2500000,B343)</f>
        <v>2500000</v>
      </c>
      <c r="E343" s="2">
        <v>1341320</v>
      </c>
      <c r="F343" s="2">
        <v>767981</v>
      </c>
      <c r="G343" s="2">
        <v>866520</v>
      </c>
      <c r="H343" s="2">
        <v>2500000</v>
      </c>
      <c r="I343" s="2">
        <f>32.49*(100000)</f>
        <v>3249000</v>
      </c>
      <c r="J343" s="2">
        <f t="shared" si="90"/>
        <v>1832570</v>
      </c>
      <c r="K343" s="2">
        <f t="shared" si="91"/>
        <v>2129720</v>
      </c>
      <c r="L343" s="2">
        <f t="shared" si="92"/>
        <v>749000</v>
      </c>
      <c r="M343" s="2">
        <f t="shared" si="93"/>
        <v>1907680</v>
      </c>
      <c r="N343" s="2">
        <f t="shared" si="94"/>
        <v>2481019</v>
      </c>
      <c r="O343" s="2">
        <f t="shared" si="95"/>
        <v>2382480</v>
      </c>
      <c r="P343" s="2">
        <f t="shared" si="96"/>
        <v>749000</v>
      </c>
      <c r="Q343" s="3">
        <f t="shared" si="97"/>
        <v>9200856999.7260265</v>
      </c>
      <c r="R343" s="3">
        <f t="shared" si="98"/>
        <v>12426595283.287672</v>
      </c>
      <c r="S343" s="3">
        <f t="shared" si="99"/>
        <v>1536989041.0958905</v>
      </c>
      <c r="T343" s="3">
        <f t="shared" si="100"/>
        <v>9970528718.90411</v>
      </c>
      <c r="U343" s="3">
        <f t="shared" si="101"/>
        <v>16864261036.60548</v>
      </c>
      <c r="V343" s="3">
        <f t="shared" si="102"/>
        <v>15551262877.80822</v>
      </c>
      <c r="W343" s="3">
        <f t="shared" si="103"/>
        <v>1536989041.0958905</v>
      </c>
      <c r="X343" s="3">
        <f t="shared" si="104"/>
        <v>561001000000</v>
      </c>
      <c r="Y343" s="3">
        <f t="shared" si="105"/>
        <v>25291474795751.547</v>
      </c>
      <c r="AK343">
        <v>767981</v>
      </c>
      <c r="AM343">
        <f t="shared" si="106"/>
        <v>767981</v>
      </c>
      <c r="AN343">
        <v>866520</v>
      </c>
      <c r="AP343">
        <f t="shared" si="107"/>
        <v>866520</v>
      </c>
    </row>
    <row r="344" spans="1:42" x14ac:dyDescent="0.4">
      <c r="A344">
        <v>333</v>
      </c>
      <c r="B344" s="2">
        <v>984175</v>
      </c>
      <c r="C344" s="2">
        <v>480068</v>
      </c>
      <c r="D344" s="2">
        <f>IF(B344&lt;2500000,2500000,B344)</f>
        <v>2500000</v>
      </c>
      <c r="E344" s="2">
        <v>899722</v>
      </c>
      <c r="F344" s="2">
        <v>672880</v>
      </c>
      <c r="G344" s="2">
        <v>775100</v>
      </c>
      <c r="H344" s="2">
        <v>2500000</v>
      </c>
      <c r="I344" s="2">
        <f>32.15*(100000)</f>
        <v>3215000</v>
      </c>
      <c r="J344" s="2">
        <f t="shared" si="90"/>
        <v>2230825</v>
      </c>
      <c r="K344" s="2">
        <f t="shared" si="91"/>
        <v>2734932</v>
      </c>
      <c r="L344" s="2">
        <f t="shared" si="92"/>
        <v>715000</v>
      </c>
      <c r="M344" s="2">
        <f t="shared" si="93"/>
        <v>2315278</v>
      </c>
      <c r="N344" s="2">
        <f t="shared" si="94"/>
        <v>2542120</v>
      </c>
      <c r="O344" s="2">
        <f t="shared" si="95"/>
        <v>2439900</v>
      </c>
      <c r="P344" s="2">
        <f t="shared" si="96"/>
        <v>715000</v>
      </c>
      <c r="Q344" s="3">
        <f t="shared" si="97"/>
        <v>13634466248.287672</v>
      </c>
      <c r="R344" s="3">
        <f t="shared" si="98"/>
        <v>20492748067.463013</v>
      </c>
      <c r="S344" s="3">
        <f t="shared" si="99"/>
        <v>1400616438.3561645</v>
      </c>
      <c r="T344" s="3">
        <f t="shared" si="100"/>
        <v>14686334841.873972</v>
      </c>
      <c r="U344" s="3">
        <f t="shared" si="101"/>
        <v>17705134505.205479</v>
      </c>
      <c r="V344" s="3">
        <f t="shared" si="102"/>
        <v>16309895917.80822</v>
      </c>
      <c r="W344" s="3">
        <f t="shared" si="103"/>
        <v>1400616438.3561645</v>
      </c>
      <c r="X344" s="3">
        <f t="shared" si="104"/>
        <v>511225000000</v>
      </c>
      <c r="Y344" s="3">
        <f t="shared" si="105"/>
        <v>25634607080683.055</v>
      </c>
      <c r="AK344">
        <v>672880</v>
      </c>
      <c r="AM344">
        <f t="shared" si="106"/>
        <v>672880</v>
      </c>
      <c r="AN344">
        <v>775100</v>
      </c>
      <c r="AP344">
        <f t="shared" si="107"/>
        <v>775100</v>
      </c>
    </row>
    <row r="345" spans="1:42" x14ac:dyDescent="0.4">
      <c r="A345">
        <v>334</v>
      </c>
      <c r="B345" s="2">
        <v>760241</v>
      </c>
      <c r="C345" s="2">
        <v>217796</v>
      </c>
      <c r="D345" s="2">
        <f>IF(B345&lt;2500000,2500000,B345)</f>
        <v>2500000</v>
      </c>
      <c r="E345" s="2">
        <v>672501</v>
      </c>
      <c r="F345" s="2">
        <v>593798</v>
      </c>
      <c r="G345" s="2">
        <v>697189</v>
      </c>
      <c r="H345" s="2">
        <v>2500000</v>
      </c>
      <c r="I345" s="2">
        <f>31.92*(100000)</f>
        <v>3192000</v>
      </c>
      <c r="J345" s="2">
        <f t="shared" si="90"/>
        <v>2431759</v>
      </c>
      <c r="K345" s="2">
        <f t="shared" si="91"/>
        <v>2974204</v>
      </c>
      <c r="L345" s="2">
        <f t="shared" si="92"/>
        <v>692000</v>
      </c>
      <c r="M345" s="2">
        <f t="shared" si="93"/>
        <v>2519499</v>
      </c>
      <c r="N345" s="2">
        <f t="shared" si="94"/>
        <v>2598202</v>
      </c>
      <c r="O345" s="2">
        <f t="shared" si="95"/>
        <v>2494811</v>
      </c>
      <c r="P345" s="2">
        <f t="shared" si="96"/>
        <v>692000</v>
      </c>
      <c r="Q345" s="3">
        <f t="shared" si="97"/>
        <v>16201237901.591782</v>
      </c>
      <c r="R345" s="3">
        <f t="shared" si="98"/>
        <v>24235313516.756165</v>
      </c>
      <c r="S345" s="3">
        <f t="shared" si="99"/>
        <v>1311956164.3835616</v>
      </c>
      <c r="T345" s="3">
        <f t="shared" si="100"/>
        <v>17391438934.249313</v>
      </c>
      <c r="U345" s="3">
        <f t="shared" si="101"/>
        <v>18494941459.736988</v>
      </c>
      <c r="V345" s="3">
        <f t="shared" si="102"/>
        <v>17052279248.550686</v>
      </c>
      <c r="W345" s="3">
        <f t="shared" si="103"/>
        <v>1311956164.3835616</v>
      </c>
      <c r="X345" s="3">
        <f t="shared" si="104"/>
        <v>478864000000</v>
      </c>
      <c r="Y345" s="3">
        <f t="shared" si="105"/>
        <v>25868036979313.191</v>
      </c>
      <c r="AK345">
        <v>593798</v>
      </c>
      <c r="AM345">
        <f t="shared" si="106"/>
        <v>593798</v>
      </c>
      <c r="AN345">
        <v>697189</v>
      </c>
      <c r="AP345">
        <f t="shared" si="107"/>
        <v>697189</v>
      </c>
    </row>
    <row r="346" spans="1:42" x14ac:dyDescent="0.4">
      <c r="A346">
        <v>335</v>
      </c>
      <c r="B346" s="2">
        <v>615152</v>
      </c>
      <c r="C346" s="2">
        <v>102173</v>
      </c>
      <c r="D346" s="2">
        <f>IF(B346&lt;2500000,2500000,B346)</f>
        <v>2500000</v>
      </c>
      <c r="E346" s="2">
        <v>528058</v>
      </c>
      <c r="F346" s="2">
        <v>525468</v>
      </c>
      <c r="G346" s="2">
        <v>629078</v>
      </c>
      <c r="H346" s="2">
        <v>2500000</v>
      </c>
      <c r="I346" s="2">
        <f>31.45*(100000)</f>
        <v>3145000</v>
      </c>
      <c r="J346" s="2">
        <f t="shared" si="90"/>
        <v>2529848</v>
      </c>
      <c r="K346" s="2">
        <f t="shared" si="91"/>
        <v>3042827</v>
      </c>
      <c r="L346" s="2">
        <f t="shared" si="92"/>
        <v>645000</v>
      </c>
      <c r="M346" s="2">
        <f t="shared" si="93"/>
        <v>2616942</v>
      </c>
      <c r="N346" s="2">
        <f t="shared" si="94"/>
        <v>2619532</v>
      </c>
      <c r="O346" s="2">
        <f t="shared" si="95"/>
        <v>2515922</v>
      </c>
      <c r="P346" s="2">
        <f t="shared" si="96"/>
        <v>645000</v>
      </c>
      <c r="Q346" s="3">
        <f t="shared" si="97"/>
        <v>17534605213.983562</v>
      </c>
      <c r="R346" s="3">
        <f t="shared" si="98"/>
        <v>25366564799.805481</v>
      </c>
      <c r="S346" s="3">
        <f t="shared" si="99"/>
        <v>1139794520.5479453</v>
      </c>
      <c r="T346" s="3">
        <f t="shared" si="100"/>
        <v>18762699811.956165</v>
      </c>
      <c r="U346" s="3">
        <f t="shared" si="101"/>
        <v>18799857257.599998</v>
      </c>
      <c r="V346" s="3">
        <f t="shared" si="102"/>
        <v>17342091808.449314</v>
      </c>
      <c r="W346" s="3">
        <f t="shared" si="103"/>
        <v>1139794520.5479453</v>
      </c>
      <c r="X346" s="3">
        <f t="shared" si="104"/>
        <v>416025000000</v>
      </c>
      <c r="Y346" s="3">
        <f t="shared" si="105"/>
        <v>26348335902600.863</v>
      </c>
      <c r="AK346">
        <v>525468</v>
      </c>
      <c r="AM346">
        <f t="shared" si="106"/>
        <v>525468</v>
      </c>
      <c r="AN346">
        <v>629078</v>
      </c>
      <c r="AP346">
        <f t="shared" si="107"/>
        <v>629078</v>
      </c>
    </row>
    <row r="347" spans="1:42" x14ac:dyDescent="0.4">
      <c r="A347">
        <v>336</v>
      </c>
      <c r="B347" s="2">
        <v>503779</v>
      </c>
      <c r="C347" s="2">
        <v>48218.6</v>
      </c>
      <c r="D347" s="2">
        <f>IF(B347&lt;2500000,2500000,B347)</f>
        <v>2500000</v>
      </c>
      <c r="E347" s="2">
        <v>419488</v>
      </c>
      <c r="F347" s="2">
        <v>462861</v>
      </c>
      <c r="G347" s="2">
        <v>566724</v>
      </c>
      <c r="H347" s="2">
        <v>2500000</v>
      </c>
      <c r="I347" s="2">
        <f>32.28*(100000)</f>
        <v>3228000</v>
      </c>
      <c r="J347" s="2">
        <f t="shared" si="90"/>
        <v>2724221</v>
      </c>
      <c r="K347" s="2">
        <f t="shared" si="91"/>
        <v>3179781.4</v>
      </c>
      <c r="L347" s="2">
        <f t="shared" si="92"/>
        <v>728000</v>
      </c>
      <c r="M347" s="2">
        <f t="shared" si="93"/>
        <v>2808512</v>
      </c>
      <c r="N347" s="2">
        <f t="shared" si="94"/>
        <v>2765139</v>
      </c>
      <c r="O347" s="2">
        <f t="shared" si="95"/>
        <v>2661276</v>
      </c>
      <c r="P347" s="2">
        <f t="shared" si="96"/>
        <v>728000</v>
      </c>
      <c r="Q347" s="3">
        <f t="shared" si="97"/>
        <v>20332548100.934246</v>
      </c>
      <c r="R347" s="3">
        <f t="shared" si="98"/>
        <v>27701396580.235504</v>
      </c>
      <c r="S347" s="3">
        <f t="shared" si="99"/>
        <v>1452010958.9041095</v>
      </c>
      <c r="T347" s="3">
        <f t="shared" si="100"/>
        <v>21610245627.791782</v>
      </c>
      <c r="U347" s="3">
        <f t="shared" si="101"/>
        <v>20947927915.947945</v>
      </c>
      <c r="V347" s="3">
        <f t="shared" si="102"/>
        <v>19403808077.194519</v>
      </c>
      <c r="W347" s="3">
        <f t="shared" si="103"/>
        <v>1452010958.9041095</v>
      </c>
      <c r="X347" s="3">
        <f t="shared" si="104"/>
        <v>529984000000</v>
      </c>
      <c r="Y347" s="3">
        <f t="shared" si="105"/>
        <v>25503136442326.891</v>
      </c>
      <c r="AK347">
        <v>462861</v>
      </c>
      <c r="AM347">
        <f t="shared" si="106"/>
        <v>462861</v>
      </c>
      <c r="AN347">
        <v>566724</v>
      </c>
      <c r="AP347">
        <f t="shared" si="107"/>
        <v>566724</v>
      </c>
    </row>
    <row r="348" spans="1:42" x14ac:dyDescent="0.4">
      <c r="A348">
        <v>337</v>
      </c>
      <c r="B348" s="2">
        <v>414500</v>
      </c>
      <c r="C348" s="2">
        <v>23073.200000000001</v>
      </c>
      <c r="D348" s="2">
        <f>IF(B348&lt;2500000,2500000,B348)</f>
        <v>2500000</v>
      </c>
      <c r="E348" s="2">
        <v>334925</v>
      </c>
      <c r="F348" s="2">
        <v>409027</v>
      </c>
      <c r="G348" s="2">
        <v>510744</v>
      </c>
      <c r="H348" s="2">
        <v>2500000</v>
      </c>
      <c r="I348" s="2">
        <f>32.94*(100000)</f>
        <v>3294000</v>
      </c>
      <c r="J348" s="2">
        <f t="shared" si="90"/>
        <v>2879500</v>
      </c>
      <c r="K348" s="2">
        <f t="shared" si="91"/>
        <v>3270926.8</v>
      </c>
      <c r="L348" s="2">
        <f t="shared" si="92"/>
        <v>794000</v>
      </c>
      <c r="M348" s="2">
        <f t="shared" si="93"/>
        <v>2959075</v>
      </c>
      <c r="N348" s="2">
        <f t="shared" si="94"/>
        <v>2884973</v>
      </c>
      <c r="O348" s="2">
        <f t="shared" si="95"/>
        <v>2783256</v>
      </c>
      <c r="P348" s="2">
        <f t="shared" si="96"/>
        <v>794000</v>
      </c>
      <c r="Q348" s="3">
        <f t="shared" si="97"/>
        <v>22716493835.61644</v>
      </c>
      <c r="R348" s="3">
        <f t="shared" si="98"/>
        <v>29312225016.32394</v>
      </c>
      <c r="S348" s="3">
        <f t="shared" si="99"/>
        <v>1727221917.8082192</v>
      </c>
      <c r="T348" s="3">
        <f t="shared" si="100"/>
        <v>23989383166.09589</v>
      </c>
      <c r="U348" s="3">
        <f t="shared" si="101"/>
        <v>22802929344.463013</v>
      </c>
      <c r="V348" s="3">
        <f t="shared" si="102"/>
        <v>21223325922.016438</v>
      </c>
      <c r="W348" s="3">
        <f t="shared" si="103"/>
        <v>1727221917.8082192</v>
      </c>
      <c r="X348" s="3">
        <f t="shared" si="104"/>
        <v>630436000000</v>
      </c>
      <c r="Y348" s="3">
        <f t="shared" si="105"/>
        <v>24840884124518.672</v>
      </c>
      <c r="AK348">
        <v>409027</v>
      </c>
      <c r="AM348">
        <f t="shared" si="106"/>
        <v>409027</v>
      </c>
      <c r="AN348">
        <v>510744</v>
      </c>
      <c r="AP348">
        <f t="shared" si="107"/>
        <v>510744</v>
      </c>
    </row>
    <row r="349" spans="1:42" x14ac:dyDescent="0.4">
      <c r="A349">
        <v>338</v>
      </c>
      <c r="B349" s="2">
        <v>341078</v>
      </c>
      <c r="C349" s="2">
        <v>11139.7</v>
      </c>
      <c r="D349" s="2">
        <f>IF(B349&lt;2500000,2500000,B349)</f>
        <v>2500000</v>
      </c>
      <c r="E349" s="2">
        <v>267884</v>
      </c>
      <c r="F349" s="2">
        <v>360309</v>
      </c>
      <c r="G349" s="2">
        <v>460005</v>
      </c>
      <c r="H349" s="2">
        <v>2500000</v>
      </c>
      <c r="I349" s="2">
        <f>32.97*(100000)</f>
        <v>3297000</v>
      </c>
      <c r="J349" s="2">
        <f t="shared" si="90"/>
        <v>2955922</v>
      </c>
      <c r="K349" s="2">
        <f t="shared" si="91"/>
        <v>3285860.3</v>
      </c>
      <c r="L349" s="2">
        <f t="shared" si="92"/>
        <v>797000</v>
      </c>
      <c r="M349" s="2">
        <f t="shared" si="93"/>
        <v>3029116</v>
      </c>
      <c r="N349" s="2">
        <f t="shared" si="94"/>
        <v>2936691</v>
      </c>
      <c r="O349" s="2">
        <f t="shared" si="95"/>
        <v>2836995</v>
      </c>
      <c r="P349" s="2">
        <f t="shared" si="96"/>
        <v>797000</v>
      </c>
      <c r="Q349" s="3">
        <f t="shared" si="97"/>
        <v>23938287315.29863</v>
      </c>
      <c r="R349" s="3">
        <f t="shared" si="98"/>
        <v>29580487427.715309</v>
      </c>
      <c r="S349" s="3">
        <f t="shared" si="99"/>
        <v>1740298630.1369863</v>
      </c>
      <c r="T349" s="3">
        <f t="shared" si="100"/>
        <v>25138476003.98904</v>
      </c>
      <c r="U349" s="3">
        <f t="shared" si="101"/>
        <v>23627819258.852055</v>
      </c>
      <c r="V349" s="3">
        <f t="shared" si="102"/>
        <v>22050796246.643837</v>
      </c>
      <c r="W349" s="3">
        <f t="shared" si="103"/>
        <v>1740298630.1369863</v>
      </c>
      <c r="X349" s="3">
        <f t="shared" si="104"/>
        <v>635209000000</v>
      </c>
      <c r="Y349" s="3">
        <f t="shared" si="105"/>
        <v>24810988746436.48</v>
      </c>
      <c r="AK349">
        <v>360309</v>
      </c>
      <c r="AM349">
        <f t="shared" si="106"/>
        <v>360309</v>
      </c>
      <c r="AN349">
        <v>460005</v>
      </c>
      <c r="AP349">
        <f t="shared" si="107"/>
        <v>460005</v>
      </c>
    </row>
    <row r="350" spans="1:42" x14ac:dyDescent="0.4">
      <c r="A350">
        <v>339</v>
      </c>
      <c r="B350" s="2">
        <v>280712</v>
      </c>
      <c r="C350" s="2">
        <v>5408.62</v>
      </c>
      <c r="D350" s="2">
        <f>IF(B350&lt;2500000,2500000,B350)</f>
        <v>2500000</v>
      </c>
      <c r="E350" s="2">
        <v>214176</v>
      </c>
      <c r="F350" s="2">
        <v>318254</v>
      </c>
      <c r="G350" s="2">
        <v>414530</v>
      </c>
      <c r="H350" s="2">
        <v>2500000</v>
      </c>
      <c r="I350" s="2">
        <f>32.68*(100000)</f>
        <v>3268000</v>
      </c>
      <c r="J350" s="2">
        <f t="shared" si="90"/>
        <v>2987288</v>
      </c>
      <c r="K350" s="2">
        <f t="shared" si="91"/>
        <v>3262591.38</v>
      </c>
      <c r="L350" s="2">
        <f t="shared" si="92"/>
        <v>768000</v>
      </c>
      <c r="M350" s="2">
        <f t="shared" si="93"/>
        <v>3053824</v>
      </c>
      <c r="N350" s="2">
        <f t="shared" si="94"/>
        <v>2949746</v>
      </c>
      <c r="O350" s="2">
        <f t="shared" si="95"/>
        <v>2853470</v>
      </c>
      <c r="P350" s="2">
        <f t="shared" si="96"/>
        <v>768000</v>
      </c>
      <c r="Q350" s="3">
        <f t="shared" si="97"/>
        <v>24449012588.887672</v>
      </c>
      <c r="R350" s="3">
        <f t="shared" si="98"/>
        <v>29163020583.151516</v>
      </c>
      <c r="S350" s="3">
        <f t="shared" si="99"/>
        <v>1615956164.3835616</v>
      </c>
      <c r="T350" s="3">
        <f t="shared" si="100"/>
        <v>25550249378.016438</v>
      </c>
      <c r="U350" s="3">
        <f t="shared" si="101"/>
        <v>23838360176.756165</v>
      </c>
      <c r="V350" s="3">
        <f t="shared" si="102"/>
        <v>22307646687.397259</v>
      </c>
      <c r="W350" s="3">
        <f t="shared" si="103"/>
        <v>1615956164.3835616</v>
      </c>
      <c r="X350" s="3">
        <f t="shared" si="104"/>
        <v>589824000000</v>
      </c>
      <c r="Y350" s="3">
        <f t="shared" si="105"/>
        <v>25100731401231</v>
      </c>
      <c r="AK350">
        <v>318254</v>
      </c>
      <c r="AM350">
        <f t="shared" si="106"/>
        <v>318254</v>
      </c>
      <c r="AN350">
        <v>414530</v>
      </c>
      <c r="AP350">
        <f t="shared" si="107"/>
        <v>414530</v>
      </c>
    </row>
    <row r="351" spans="1:42" x14ac:dyDescent="0.4">
      <c r="A351">
        <v>340</v>
      </c>
      <c r="B351" s="2">
        <v>231944</v>
      </c>
      <c r="C351" s="2">
        <v>2635.27</v>
      </c>
      <c r="D351" s="2">
        <f>IF(B351&lt;2500000,2500000,B351)</f>
        <v>2500000</v>
      </c>
      <c r="E351" s="2">
        <v>171801</v>
      </c>
      <c r="F351" s="2">
        <v>281823</v>
      </c>
      <c r="G351" s="2">
        <v>374239</v>
      </c>
      <c r="H351" s="2">
        <v>2500000</v>
      </c>
      <c r="I351" s="2">
        <f>32.47*(100000)</f>
        <v>3247000</v>
      </c>
      <c r="J351" s="2">
        <f t="shared" si="90"/>
        <v>3015056</v>
      </c>
      <c r="K351" s="2">
        <f t="shared" si="91"/>
        <v>3244364.73</v>
      </c>
      <c r="L351" s="2">
        <f t="shared" si="92"/>
        <v>747000</v>
      </c>
      <c r="M351" s="2">
        <f t="shared" si="93"/>
        <v>3075199</v>
      </c>
      <c r="N351" s="2">
        <f t="shared" si="94"/>
        <v>2965177</v>
      </c>
      <c r="O351" s="2">
        <f t="shared" si="95"/>
        <v>2872761</v>
      </c>
      <c r="P351" s="2">
        <f t="shared" si="96"/>
        <v>747000</v>
      </c>
      <c r="Q351" s="3">
        <f t="shared" si="97"/>
        <v>24905651186.673973</v>
      </c>
      <c r="R351" s="3">
        <f t="shared" si="98"/>
        <v>28838089044.56979</v>
      </c>
      <c r="S351" s="3">
        <f t="shared" si="99"/>
        <v>1528791780.8219178</v>
      </c>
      <c r="T351" s="3">
        <f t="shared" si="100"/>
        <v>25909175040.002739</v>
      </c>
      <c r="U351" s="3">
        <f t="shared" si="101"/>
        <v>24088423674.873974</v>
      </c>
      <c r="V351" s="3">
        <f t="shared" si="102"/>
        <v>22610289761.975342</v>
      </c>
      <c r="W351" s="3">
        <f t="shared" si="103"/>
        <v>1528791780.8219178</v>
      </c>
      <c r="X351" s="3">
        <f t="shared" si="104"/>
        <v>558009000000</v>
      </c>
      <c r="Y351" s="3">
        <f t="shared" si="105"/>
        <v>25311595047806.34</v>
      </c>
      <c r="AK351">
        <v>281823</v>
      </c>
      <c r="AM351">
        <f t="shared" si="106"/>
        <v>281823</v>
      </c>
      <c r="AN351">
        <v>374239</v>
      </c>
      <c r="AP351">
        <f t="shared" si="107"/>
        <v>374239</v>
      </c>
    </row>
    <row r="352" spans="1:42" x14ac:dyDescent="0.4">
      <c r="A352">
        <v>341</v>
      </c>
      <c r="B352" s="2">
        <v>191185</v>
      </c>
      <c r="C352" s="2">
        <v>1286.8</v>
      </c>
      <c r="D352" s="2">
        <f>IF(B352&lt;2500000,2500000,B352)</f>
        <v>2500000</v>
      </c>
      <c r="E352" s="2">
        <v>137670</v>
      </c>
      <c r="F352" s="2">
        <v>247398</v>
      </c>
      <c r="G352" s="2">
        <v>336746</v>
      </c>
      <c r="H352" s="2">
        <v>2500000</v>
      </c>
      <c r="I352" s="2">
        <f>32.76*(100000)</f>
        <v>3276000</v>
      </c>
      <c r="J352" s="2">
        <f t="shared" si="90"/>
        <v>3084815</v>
      </c>
      <c r="K352" s="2">
        <f t="shared" si="91"/>
        <v>3274713.2</v>
      </c>
      <c r="L352" s="2">
        <f t="shared" si="92"/>
        <v>776000</v>
      </c>
      <c r="M352" s="2">
        <f t="shared" si="93"/>
        <v>3138330</v>
      </c>
      <c r="N352" s="2">
        <f t="shared" si="94"/>
        <v>3028602</v>
      </c>
      <c r="O352" s="2">
        <f t="shared" si="95"/>
        <v>2939254</v>
      </c>
      <c r="P352" s="2">
        <f t="shared" si="96"/>
        <v>776000</v>
      </c>
      <c r="Q352" s="3">
        <f t="shared" si="97"/>
        <v>26071461874.589043</v>
      </c>
      <c r="R352" s="3">
        <f t="shared" si="98"/>
        <v>29380127513.025322</v>
      </c>
      <c r="S352" s="3">
        <f t="shared" si="99"/>
        <v>1649797260.2739725</v>
      </c>
      <c r="T352" s="3">
        <f t="shared" si="100"/>
        <v>26983877229.863014</v>
      </c>
      <c r="U352" s="3">
        <f t="shared" si="101"/>
        <v>25129945409.326027</v>
      </c>
      <c r="V352" s="3">
        <f t="shared" si="102"/>
        <v>23669079661.687672</v>
      </c>
      <c r="W352" s="3">
        <f t="shared" si="103"/>
        <v>1649797260.2739725</v>
      </c>
      <c r="X352" s="3">
        <f t="shared" si="104"/>
        <v>602176000000</v>
      </c>
      <c r="Y352" s="3">
        <f t="shared" si="105"/>
        <v>25020634393011.82</v>
      </c>
      <c r="AK352">
        <v>247398</v>
      </c>
      <c r="AM352">
        <f t="shared" si="106"/>
        <v>247398</v>
      </c>
      <c r="AN352">
        <v>336746</v>
      </c>
      <c r="AP352">
        <f t="shared" si="107"/>
        <v>336746</v>
      </c>
    </row>
    <row r="353" spans="1:42" x14ac:dyDescent="0.4">
      <c r="A353">
        <v>342</v>
      </c>
      <c r="B353" s="2">
        <v>157150</v>
      </c>
      <c r="C353" s="2">
        <v>629.18399999999997</v>
      </c>
      <c r="D353" s="2">
        <f>IF(B353&lt;2500000,2500000,B353)</f>
        <v>2500000</v>
      </c>
      <c r="E353" s="2">
        <v>110132</v>
      </c>
      <c r="F353" s="2">
        <v>217187</v>
      </c>
      <c r="G353" s="2">
        <v>301725</v>
      </c>
      <c r="H353" s="2">
        <v>2500000</v>
      </c>
      <c r="I353" s="2">
        <f>32.65*(100000)</f>
        <v>3265000</v>
      </c>
      <c r="J353" s="2">
        <f t="shared" si="90"/>
        <v>3107850</v>
      </c>
      <c r="K353" s="2">
        <f t="shared" si="91"/>
        <v>3264370.8160000001</v>
      </c>
      <c r="L353" s="2">
        <f t="shared" si="92"/>
        <v>765000</v>
      </c>
      <c r="M353" s="2">
        <f t="shared" si="93"/>
        <v>3154868</v>
      </c>
      <c r="N353" s="2">
        <f t="shared" si="94"/>
        <v>3047813</v>
      </c>
      <c r="O353" s="2">
        <f t="shared" si="95"/>
        <v>2963275</v>
      </c>
      <c r="P353" s="2">
        <f t="shared" si="96"/>
        <v>765000</v>
      </c>
      <c r="Q353" s="3">
        <f t="shared" si="97"/>
        <v>26462278417.80822</v>
      </c>
      <c r="R353" s="3">
        <f t="shared" si="98"/>
        <v>29194840614.664398</v>
      </c>
      <c r="S353" s="3">
        <f t="shared" si="99"/>
        <v>1603356164.3835616</v>
      </c>
      <c r="T353" s="3">
        <f t="shared" si="100"/>
        <v>27269019444.997261</v>
      </c>
      <c r="U353" s="3">
        <f t="shared" si="101"/>
        <v>25449764610.873974</v>
      </c>
      <c r="V353" s="3">
        <f t="shared" si="102"/>
        <v>24057530755.136986</v>
      </c>
      <c r="W353" s="3">
        <f t="shared" si="103"/>
        <v>1603356164.3835616</v>
      </c>
      <c r="X353" s="3">
        <f t="shared" si="104"/>
        <v>585225000000</v>
      </c>
      <c r="Y353" s="3">
        <f t="shared" si="105"/>
        <v>25130800779313.191</v>
      </c>
      <c r="AK353">
        <v>217187</v>
      </c>
      <c r="AM353">
        <f t="shared" si="106"/>
        <v>217187</v>
      </c>
      <c r="AN353">
        <v>301725</v>
      </c>
      <c r="AP353">
        <f t="shared" si="107"/>
        <v>301725</v>
      </c>
    </row>
    <row r="354" spans="1:42" x14ac:dyDescent="0.4">
      <c r="A354">
        <v>343</v>
      </c>
      <c r="B354" s="2">
        <v>129177</v>
      </c>
      <c r="C354" s="2">
        <v>307.89600000000002</v>
      </c>
      <c r="D354" s="2">
        <f>IF(B354&lt;2500000,2500000,B354)</f>
        <v>2500000</v>
      </c>
      <c r="E354" s="2">
        <v>88104.7</v>
      </c>
      <c r="F354" s="2">
        <v>191464</v>
      </c>
      <c r="G354" s="2">
        <v>271204</v>
      </c>
      <c r="H354" s="2">
        <v>2500000</v>
      </c>
      <c r="I354" s="2">
        <f>32.78*(100000)</f>
        <v>3278000</v>
      </c>
      <c r="J354" s="2">
        <f t="shared" si="90"/>
        <v>3148823</v>
      </c>
      <c r="K354" s="2">
        <f t="shared" si="91"/>
        <v>3277692.1039999998</v>
      </c>
      <c r="L354" s="2">
        <f t="shared" si="92"/>
        <v>778000</v>
      </c>
      <c r="M354" s="2">
        <f t="shared" si="93"/>
        <v>3189895.3</v>
      </c>
      <c r="N354" s="2">
        <f t="shared" si="94"/>
        <v>3086536</v>
      </c>
      <c r="O354" s="2">
        <f t="shared" si="95"/>
        <v>3006796</v>
      </c>
      <c r="P354" s="2">
        <f t="shared" si="96"/>
        <v>778000</v>
      </c>
      <c r="Q354" s="3">
        <f t="shared" si="97"/>
        <v>27164619959.805481</v>
      </c>
      <c r="R354" s="3">
        <f t="shared" si="98"/>
        <v>29433604188.010811</v>
      </c>
      <c r="S354" s="3">
        <f t="shared" si="99"/>
        <v>1658312328.7671232</v>
      </c>
      <c r="T354" s="3">
        <f t="shared" si="100"/>
        <v>27877895958.80024</v>
      </c>
      <c r="U354" s="3">
        <f t="shared" si="101"/>
        <v>26100560217.249313</v>
      </c>
      <c r="V354" s="3">
        <f t="shared" si="102"/>
        <v>24769375851.002739</v>
      </c>
      <c r="W354" s="3">
        <f t="shared" si="103"/>
        <v>1658312328.7671232</v>
      </c>
      <c r="X354" s="3">
        <f t="shared" si="104"/>
        <v>605284000000</v>
      </c>
      <c r="Y354" s="3">
        <f t="shared" si="105"/>
        <v>25000630140957.027</v>
      </c>
      <c r="AK354">
        <v>191464</v>
      </c>
      <c r="AM354">
        <f t="shared" si="106"/>
        <v>191464</v>
      </c>
      <c r="AN354">
        <v>271204</v>
      </c>
      <c r="AP354">
        <f t="shared" si="107"/>
        <v>271204</v>
      </c>
    </row>
    <row r="355" spans="1:42" x14ac:dyDescent="0.4">
      <c r="A355">
        <v>344</v>
      </c>
      <c r="B355" s="2">
        <v>106183</v>
      </c>
      <c r="C355" s="2">
        <v>150.74799999999999</v>
      </c>
      <c r="D355" s="2">
        <f>IF(B355&lt;2500000,2500000,B355)</f>
        <v>2500000</v>
      </c>
      <c r="E355" s="2">
        <v>70483.399999999994</v>
      </c>
      <c r="F355" s="2">
        <v>168090</v>
      </c>
      <c r="G355" s="2">
        <v>243272</v>
      </c>
      <c r="H355" s="2">
        <v>2500000</v>
      </c>
      <c r="I355" s="2">
        <f>33.57*(100000)</f>
        <v>3357000</v>
      </c>
      <c r="J355" s="2">
        <f t="shared" si="90"/>
        <v>3250817</v>
      </c>
      <c r="K355" s="2">
        <f t="shared" si="91"/>
        <v>3356849.2519999999</v>
      </c>
      <c r="L355" s="2">
        <f t="shared" si="92"/>
        <v>857000</v>
      </c>
      <c r="M355" s="2">
        <f t="shared" si="93"/>
        <v>3286516.6</v>
      </c>
      <c r="N355" s="2">
        <f t="shared" si="94"/>
        <v>3188910</v>
      </c>
      <c r="O355" s="2">
        <f t="shared" si="95"/>
        <v>3113728</v>
      </c>
      <c r="P355" s="2">
        <f t="shared" si="96"/>
        <v>857000</v>
      </c>
      <c r="Q355" s="3">
        <f t="shared" si="97"/>
        <v>28952907308.189041</v>
      </c>
      <c r="R355" s="3">
        <f t="shared" si="98"/>
        <v>30872429864.802628</v>
      </c>
      <c r="S355" s="3">
        <f t="shared" si="99"/>
        <v>2012189041.0958905</v>
      </c>
      <c r="T355" s="3">
        <f t="shared" si="100"/>
        <v>29592305101.576878</v>
      </c>
      <c r="U355" s="3">
        <f t="shared" si="101"/>
        <v>27860676679.726028</v>
      </c>
      <c r="V355" s="3">
        <f t="shared" si="102"/>
        <v>26562471391.736988</v>
      </c>
      <c r="W355" s="3">
        <f t="shared" si="103"/>
        <v>2012189041.0958905</v>
      </c>
      <c r="X355" s="3">
        <f t="shared" si="104"/>
        <v>734449000000</v>
      </c>
      <c r="Y355" s="3">
        <f t="shared" si="105"/>
        <v>24216861184792.645</v>
      </c>
      <c r="AK355">
        <v>168090</v>
      </c>
      <c r="AM355">
        <f t="shared" si="106"/>
        <v>168090</v>
      </c>
      <c r="AN355">
        <v>243272</v>
      </c>
      <c r="AP355">
        <f t="shared" si="107"/>
        <v>243272</v>
      </c>
    </row>
    <row r="356" spans="1:42" x14ac:dyDescent="0.4">
      <c r="A356">
        <v>345</v>
      </c>
      <c r="B356" s="2">
        <v>3939960</v>
      </c>
      <c r="C356" s="2">
        <v>18609700</v>
      </c>
      <c r="D356" s="2">
        <f>IF(B356&lt;2500000,2500000,B356)</f>
        <v>3939960</v>
      </c>
      <c r="E356" s="2">
        <v>4227610</v>
      </c>
      <c r="F356" s="2">
        <v>1508210</v>
      </c>
      <c r="G356" s="2">
        <v>1134220</v>
      </c>
      <c r="H356" s="2">
        <v>3328346.9869527388</v>
      </c>
      <c r="I356" s="2">
        <f>33.74*(100000)</f>
        <v>3374000</v>
      </c>
      <c r="J356" s="2">
        <f t="shared" si="90"/>
        <v>565960</v>
      </c>
      <c r="K356" s="2">
        <f t="shared" si="91"/>
        <v>15235700</v>
      </c>
      <c r="L356" s="2">
        <f t="shared" si="92"/>
        <v>565960</v>
      </c>
      <c r="M356" s="2">
        <f t="shared" si="93"/>
        <v>853610</v>
      </c>
      <c r="N356" s="2">
        <f t="shared" si="94"/>
        <v>1865790</v>
      </c>
      <c r="O356" s="2">
        <f t="shared" si="95"/>
        <v>2239780</v>
      </c>
      <c r="P356" s="2">
        <f t="shared" si="96"/>
        <v>45653.013047261164</v>
      </c>
      <c r="Q356" s="3">
        <f t="shared" si="97"/>
        <v>877563620.82191777</v>
      </c>
      <c r="R356" s="3">
        <f t="shared" si="98"/>
        <v>635963162986.30139</v>
      </c>
      <c r="S356" s="3">
        <f t="shared" si="99"/>
        <v>877563620.82191777</v>
      </c>
      <c r="T356" s="3">
        <f t="shared" si="100"/>
        <v>1996301457.8082192</v>
      </c>
      <c r="U356" s="3">
        <f t="shared" si="101"/>
        <v>9537458422.1917801</v>
      </c>
      <c r="V356" s="3">
        <f t="shared" si="102"/>
        <v>13744149173.698629</v>
      </c>
      <c r="W356" s="3">
        <f t="shared" si="103"/>
        <v>5710130.4117627349</v>
      </c>
      <c r="X356" s="3">
        <f t="shared" si="104"/>
        <v>2084197600.2933981</v>
      </c>
      <c r="Y356" s="3">
        <f t="shared" si="105"/>
        <v>24049834042326.891</v>
      </c>
      <c r="AK356">
        <v>1.5082100000000001</v>
      </c>
      <c r="AL356">
        <v>1000000</v>
      </c>
      <c r="AM356">
        <f t="shared" si="106"/>
        <v>1508210</v>
      </c>
      <c r="AN356">
        <v>1.13422</v>
      </c>
      <c r="AO356">
        <v>1000000</v>
      </c>
      <c r="AP356">
        <f t="shared" si="107"/>
        <v>1134220</v>
      </c>
    </row>
    <row r="357" spans="1:42" x14ac:dyDescent="0.4">
      <c r="A357">
        <v>346</v>
      </c>
      <c r="B357" s="2">
        <v>4332930</v>
      </c>
      <c r="C357" s="2">
        <v>6159940</v>
      </c>
      <c r="D357" s="2">
        <f>IF(B357&lt;2500000,2500000,B357)</f>
        <v>4332930</v>
      </c>
      <c r="E357" s="2">
        <v>4554490</v>
      </c>
      <c r="F357" s="2">
        <v>1226900</v>
      </c>
      <c r="G357" s="2">
        <v>1208650</v>
      </c>
      <c r="H357" s="2">
        <v>2541631.356558471</v>
      </c>
      <c r="I357" s="2">
        <f>32.76*(100000)</f>
        <v>3276000</v>
      </c>
      <c r="J357" s="2">
        <f t="shared" si="90"/>
        <v>1056930</v>
      </c>
      <c r="K357" s="2">
        <f t="shared" si="91"/>
        <v>2883940</v>
      </c>
      <c r="L357" s="2">
        <f t="shared" si="92"/>
        <v>1056930</v>
      </c>
      <c r="M357" s="2">
        <f t="shared" si="93"/>
        <v>1278490</v>
      </c>
      <c r="N357" s="2">
        <f t="shared" si="94"/>
        <v>2049100</v>
      </c>
      <c r="O357" s="2">
        <f t="shared" si="95"/>
        <v>2067350</v>
      </c>
      <c r="P357" s="2">
        <f t="shared" si="96"/>
        <v>734368.64344152901</v>
      </c>
      <c r="Q357" s="3">
        <f t="shared" si="97"/>
        <v>3060550753.1506848</v>
      </c>
      <c r="R357" s="3">
        <f t="shared" si="98"/>
        <v>22786602530.410957</v>
      </c>
      <c r="S357" s="3">
        <f t="shared" si="99"/>
        <v>3060550753.1506848</v>
      </c>
      <c r="T357" s="3">
        <f t="shared" si="100"/>
        <v>4478182685.2054796</v>
      </c>
      <c r="U357" s="3">
        <f t="shared" si="101"/>
        <v>11503591260.273973</v>
      </c>
      <c r="V357" s="3">
        <f t="shared" si="102"/>
        <v>11709413760.273973</v>
      </c>
      <c r="W357" s="3">
        <f t="shared" si="103"/>
        <v>1477526861.5620589</v>
      </c>
      <c r="X357" s="3">
        <f t="shared" si="104"/>
        <v>539297304470.15155</v>
      </c>
      <c r="Y357" s="3">
        <f t="shared" si="105"/>
        <v>25020634393011.82</v>
      </c>
      <c r="AK357">
        <v>1.2269000000000001</v>
      </c>
      <c r="AL357">
        <v>1000000</v>
      </c>
      <c r="AM357">
        <f t="shared" si="106"/>
        <v>1226900</v>
      </c>
      <c r="AN357">
        <v>1.20865</v>
      </c>
      <c r="AO357">
        <v>1000000</v>
      </c>
      <c r="AP357">
        <f t="shared" si="107"/>
        <v>1208650</v>
      </c>
    </row>
    <row r="358" spans="1:42" x14ac:dyDescent="0.4">
      <c r="A358">
        <v>347</v>
      </c>
      <c r="B358" s="2">
        <v>3586560</v>
      </c>
      <c r="C358" s="2">
        <v>2544640</v>
      </c>
      <c r="D358" s="2">
        <f>IF(B358&lt;2500000,2500000,B358)</f>
        <v>3586560</v>
      </c>
      <c r="E358" s="2">
        <v>3711900</v>
      </c>
      <c r="F358" s="2">
        <v>1033050</v>
      </c>
      <c r="G358" s="2">
        <v>1036450.0000000001</v>
      </c>
      <c r="H358" s="2">
        <v>2598422.5673840828</v>
      </c>
      <c r="I358" s="2">
        <f>32.6*(100000)</f>
        <v>3260000</v>
      </c>
      <c r="J358" s="2">
        <f t="shared" si="90"/>
        <v>326560</v>
      </c>
      <c r="K358" s="2">
        <f t="shared" si="91"/>
        <v>715360</v>
      </c>
      <c r="L358" s="2">
        <f t="shared" si="92"/>
        <v>326560</v>
      </c>
      <c r="M358" s="2">
        <f t="shared" si="93"/>
        <v>451900</v>
      </c>
      <c r="N358" s="2">
        <f t="shared" si="94"/>
        <v>2226950</v>
      </c>
      <c r="O358" s="2">
        <f t="shared" si="95"/>
        <v>2223550</v>
      </c>
      <c r="P358" s="2">
        <f t="shared" si="96"/>
        <v>661577.43261591718</v>
      </c>
      <c r="Q358" s="3">
        <f t="shared" si="97"/>
        <v>292168311.23287672</v>
      </c>
      <c r="R358" s="3">
        <f t="shared" si="98"/>
        <v>1402027204.3835616</v>
      </c>
      <c r="S358" s="3">
        <f t="shared" si="99"/>
        <v>292168311.23287672</v>
      </c>
      <c r="T358" s="3">
        <f t="shared" si="100"/>
        <v>559489342.46575344</v>
      </c>
      <c r="U358" s="3">
        <f t="shared" si="101"/>
        <v>13587140554.794521</v>
      </c>
      <c r="V358" s="3">
        <f t="shared" si="102"/>
        <v>13545683842.465754</v>
      </c>
      <c r="W358" s="3">
        <f t="shared" si="103"/>
        <v>1199136162.5936122</v>
      </c>
      <c r="X358" s="3">
        <f t="shared" si="104"/>
        <v>437684699346.66846</v>
      </c>
      <c r="Y358" s="3">
        <f t="shared" si="105"/>
        <v>25180956409450.176</v>
      </c>
      <c r="AK358">
        <v>1.03305</v>
      </c>
      <c r="AL358">
        <v>1000000</v>
      </c>
      <c r="AM358">
        <f t="shared" si="106"/>
        <v>1033050</v>
      </c>
      <c r="AN358">
        <v>1.0364500000000001</v>
      </c>
      <c r="AO358">
        <v>1000000</v>
      </c>
      <c r="AP358">
        <f t="shared" si="107"/>
        <v>1036450.0000000001</v>
      </c>
    </row>
    <row r="359" spans="1:42" x14ac:dyDescent="0.4">
      <c r="A359">
        <v>348</v>
      </c>
      <c r="B359" s="2">
        <v>3565370</v>
      </c>
      <c r="C359" s="2">
        <v>6352710</v>
      </c>
      <c r="D359" s="2">
        <f>IF(B359&lt;2500000,2500000,B359)</f>
        <v>3565370</v>
      </c>
      <c r="E359" s="2">
        <v>3711550</v>
      </c>
      <c r="F359" s="2">
        <v>1271120</v>
      </c>
      <c r="G359" s="2">
        <v>1165560</v>
      </c>
      <c r="H359" s="2">
        <v>2796209.6705137342</v>
      </c>
      <c r="I359" s="2">
        <f>32.76*(100000)</f>
        <v>3276000</v>
      </c>
      <c r="J359" s="2">
        <f t="shared" si="90"/>
        <v>289370</v>
      </c>
      <c r="K359" s="2">
        <f t="shared" si="91"/>
        <v>3076710</v>
      </c>
      <c r="L359" s="2">
        <f t="shared" si="92"/>
        <v>289370</v>
      </c>
      <c r="M359" s="2">
        <f t="shared" si="93"/>
        <v>435550</v>
      </c>
      <c r="N359" s="2">
        <f t="shared" si="94"/>
        <v>2004880</v>
      </c>
      <c r="O359" s="2">
        <f t="shared" si="95"/>
        <v>2110440</v>
      </c>
      <c r="P359" s="2">
        <f t="shared" si="96"/>
        <v>479790.32948626578</v>
      </c>
      <c r="Q359" s="3">
        <f t="shared" si="97"/>
        <v>229410950.41095892</v>
      </c>
      <c r="R359" s="3">
        <f t="shared" si="98"/>
        <v>25934642257.80822</v>
      </c>
      <c r="S359" s="3">
        <f t="shared" si="99"/>
        <v>229410950.41095892</v>
      </c>
      <c r="T359" s="3">
        <f t="shared" si="100"/>
        <v>519736445.20547944</v>
      </c>
      <c r="U359" s="3">
        <f t="shared" si="101"/>
        <v>11012448806.575342</v>
      </c>
      <c r="V359" s="3">
        <f t="shared" si="102"/>
        <v>12202621900.273973</v>
      </c>
      <c r="W359" s="3">
        <f t="shared" si="103"/>
        <v>630681534.98229992</v>
      </c>
      <c r="X359" s="3">
        <f t="shared" si="104"/>
        <v>230198760268.53949</v>
      </c>
      <c r="Y359" s="3">
        <f t="shared" si="105"/>
        <v>25020634393011.82</v>
      </c>
      <c r="AK359">
        <v>1.27112</v>
      </c>
      <c r="AL359">
        <v>1000000</v>
      </c>
      <c r="AM359">
        <f t="shared" si="106"/>
        <v>1271120</v>
      </c>
      <c r="AN359">
        <v>1.1655599999999999</v>
      </c>
      <c r="AO359">
        <v>1000000</v>
      </c>
      <c r="AP359">
        <f t="shared" si="107"/>
        <v>1165560</v>
      </c>
    </row>
    <row r="360" spans="1:42" x14ac:dyDescent="0.4">
      <c r="A360">
        <v>349</v>
      </c>
      <c r="B360" s="2">
        <v>3113270</v>
      </c>
      <c r="C360" s="2">
        <v>3594370</v>
      </c>
      <c r="D360" s="2">
        <f>IF(B360&lt;2500000,2500000,B360)</f>
        <v>3113270</v>
      </c>
      <c r="E360" s="2">
        <v>3217530</v>
      </c>
      <c r="F360" s="2">
        <v>1180290</v>
      </c>
      <c r="G360" s="2">
        <v>1152810</v>
      </c>
      <c r="H360" s="2">
        <v>2639887.5198811088</v>
      </c>
      <c r="I360" s="2">
        <f>33.08*(100000)</f>
        <v>3308000</v>
      </c>
      <c r="J360" s="2">
        <f t="shared" si="90"/>
        <v>194730</v>
      </c>
      <c r="K360" s="2">
        <f t="shared" si="91"/>
        <v>286370</v>
      </c>
      <c r="L360" s="2">
        <f t="shared" si="92"/>
        <v>194730</v>
      </c>
      <c r="M360" s="2">
        <f t="shared" si="93"/>
        <v>90470</v>
      </c>
      <c r="N360" s="2">
        <f t="shared" si="94"/>
        <v>2127710</v>
      </c>
      <c r="O360" s="2">
        <f t="shared" si="95"/>
        <v>2155190</v>
      </c>
      <c r="P360" s="2">
        <f t="shared" si="96"/>
        <v>668112.48011889122</v>
      </c>
      <c r="Q360" s="3">
        <f t="shared" si="97"/>
        <v>103889788.76712328</v>
      </c>
      <c r="R360" s="3">
        <f t="shared" si="98"/>
        <v>224678840.8219178</v>
      </c>
      <c r="S360" s="3">
        <f t="shared" si="99"/>
        <v>103889788.76712328</v>
      </c>
      <c r="T360" s="3">
        <f t="shared" si="100"/>
        <v>22424166.84931507</v>
      </c>
      <c r="U360" s="3">
        <f t="shared" si="101"/>
        <v>12403150257.80822</v>
      </c>
      <c r="V360" s="3">
        <f t="shared" si="102"/>
        <v>12725599824.931507</v>
      </c>
      <c r="W360" s="3">
        <f t="shared" si="103"/>
        <v>1222943249.5633311</v>
      </c>
      <c r="X360" s="3">
        <f t="shared" si="104"/>
        <v>446374286090.61584</v>
      </c>
      <c r="Y360" s="3">
        <f t="shared" si="105"/>
        <v>24701526360135.109</v>
      </c>
      <c r="AK360">
        <v>1.1802900000000001</v>
      </c>
      <c r="AL360">
        <v>1000000</v>
      </c>
      <c r="AM360">
        <f t="shared" si="106"/>
        <v>1180290</v>
      </c>
      <c r="AN360">
        <v>1.1528099999999999</v>
      </c>
      <c r="AO360">
        <v>1000000</v>
      </c>
      <c r="AP360">
        <f t="shared" si="107"/>
        <v>1152810</v>
      </c>
    </row>
    <row r="361" spans="1:42" x14ac:dyDescent="0.4">
      <c r="A361">
        <v>350</v>
      </c>
      <c r="B361" s="2">
        <v>3040420</v>
      </c>
      <c r="C361" s="2">
        <v>5111970</v>
      </c>
      <c r="D361" s="2">
        <f>IF(B361&lt;2500000,2500000,B361)</f>
        <v>3040420</v>
      </c>
      <c r="E361" s="2">
        <v>3142540</v>
      </c>
      <c r="F361" s="2">
        <v>1290840</v>
      </c>
      <c r="G361" s="2">
        <v>1220130</v>
      </c>
      <c r="H361" s="2">
        <v>2737208.612300761</v>
      </c>
      <c r="I361" s="2">
        <f>32.05*(100000)</f>
        <v>3204999.9999999995</v>
      </c>
      <c r="J361" s="2">
        <f t="shared" si="90"/>
        <v>164579.99999999953</v>
      </c>
      <c r="K361" s="2">
        <f t="shared" si="91"/>
        <v>1906970.0000000005</v>
      </c>
      <c r="L361" s="2">
        <f t="shared" si="92"/>
        <v>164579.99999999953</v>
      </c>
      <c r="M361" s="2">
        <f t="shared" si="93"/>
        <v>62459.999999999534</v>
      </c>
      <c r="N361" s="2">
        <f t="shared" si="94"/>
        <v>1914159.9999999995</v>
      </c>
      <c r="O361" s="2">
        <f t="shared" si="95"/>
        <v>1984869.9999999995</v>
      </c>
      <c r="P361" s="2">
        <f t="shared" si="96"/>
        <v>467791.38769923849</v>
      </c>
      <c r="Q361" s="3">
        <f t="shared" si="97"/>
        <v>74209798.356163964</v>
      </c>
      <c r="R361" s="3">
        <f t="shared" si="98"/>
        <v>9963108440.8219223</v>
      </c>
      <c r="S361" s="3">
        <f t="shared" si="99"/>
        <v>74209798.356163964</v>
      </c>
      <c r="T361" s="3">
        <f t="shared" si="100"/>
        <v>10688360.547945047</v>
      </c>
      <c r="U361" s="3">
        <f t="shared" si="101"/>
        <v>10038379467.397255</v>
      </c>
      <c r="V361" s="3">
        <f t="shared" si="102"/>
        <v>10793723059.999994</v>
      </c>
      <c r="W361" s="3">
        <f t="shared" si="103"/>
        <v>599530910.70021713</v>
      </c>
      <c r="X361" s="3">
        <f t="shared" si="104"/>
        <v>218828782405.57925</v>
      </c>
      <c r="Y361" s="3">
        <f t="shared" si="105"/>
        <v>25735968340957.027</v>
      </c>
      <c r="AK361">
        <v>1.29084</v>
      </c>
      <c r="AL361">
        <v>1000000</v>
      </c>
      <c r="AM361">
        <f t="shared" si="106"/>
        <v>1290840</v>
      </c>
      <c r="AN361">
        <v>1.2201299999999999</v>
      </c>
      <c r="AO361">
        <v>1000000</v>
      </c>
      <c r="AP361">
        <f t="shared" si="107"/>
        <v>1220130</v>
      </c>
    </row>
    <row r="362" spans="1:42" x14ac:dyDescent="0.4">
      <c r="A362">
        <v>351</v>
      </c>
      <c r="B362" s="2">
        <v>2524790</v>
      </c>
      <c r="C362" s="2">
        <v>1754670</v>
      </c>
      <c r="D362" s="2">
        <f>IF(B362&lt;2500000,2500000,B362)</f>
        <v>2524790</v>
      </c>
      <c r="E362" s="2">
        <v>2563670</v>
      </c>
      <c r="F362" s="2">
        <v>1103380</v>
      </c>
      <c r="G362" s="2">
        <v>1120030</v>
      </c>
      <c r="H362" s="2">
        <v>2574910.866734351</v>
      </c>
      <c r="I362" s="2">
        <f>32.36*(100000)</f>
        <v>3236000</v>
      </c>
      <c r="J362" s="2">
        <f t="shared" si="90"/>
        <v>711210</v>
      </c>
      <c r="K362" s="2">
        <f t="shared" si="91"/>
        <v>1481330</v>
      </c>
      <c r="L362" s="2">
        <f t="shared" si="92"/>
        <v>711210</v>
      </c>
      <c r="M362" s="2">
        <f t="shared" si="93"/>
        <v>672330</v>
      </c>
      <c r="N362" s="2">
        <f t="shared" si="94"/>
        <v>2132620</v>
      </c>
      <c r="O362" s="2">
        <f t="shared" si="95"/>
        <v>2115970</v>
      </c>
      <c r="P362" s="2">
        <f t="shared" si="96"/>
        <v>661089.13326564897</v>
      </c>
      <c r="Q362" s="3">
        <f t="shared" si="97"/>
        <v>1385807298.9041095</v>
      </c>
      <c r="R362" s="3">
        <f t="shared" si="98"/>
        <v>6011886490.1369867</v>
      </c>
      <c r="S362" s="3">
        <f t="shared" si="99"/>
        <v>1385807298.9041095</v>
      </c>
      <c r="T362" s="3">
        <f t="shared" si="100"/>
        <v>1238431860</v>
      </c>
      <c r="U362" s="3">
        <f t="shared" si="101"/>
        <v>12460460450.410959</v>
      </c>
      <c r="V362" s="3">
        <f t="shared" si="102"/>
        <v>12266654906.575342</v>
      </c>
      <c r="W362" s="3">
        <f t="shared" si="103"/>
        <v>1197366690.7450054</v>
      </c>
      <c r="X362" s="3">
        <f t="shared" si="104"/>
        <v>437038842121.927</v>
      </c>
      <c r="Y362" s="3">
        <f t="shared" si="105"/>
        <v>25422399434107.711</v>
      </c>
      <c r="AK362">
        <v>1.10338</v>
      </c>
      <c r="AL362">
        <v>1000000</v>
      </c>
      <c r="AM362">
        <f t="shared" si="106"/>
        <v>1103380</v>
      </c>
      <c r="AN362">
        <v>1.1200300000000001</v>
      </c>
      <c r="AO362">
        <v>1000000</v>
      </c>
      <c r="AP362">
        <f t="shared" si="107"/>
        <v>1120030</v>
      </c>
    </row>
    <row r="363" spans="1:42" x14ac:dyDescent="0.4">
      <c r="A363">
        <v>352</v>
      </c>
      <c r="B363" s="2">
        <v>1850230</v>
      </c>
      <c r="C363" s="2">
        <v>786514</v>
      </c>
      <c r="D363" s="2">
        <f>IF(B363&lt;2500000,2500000,B363)</f>
        <v>2500000</v>
      </c>
      <c r="E363" s="2">
        <v>1836510</v>
      </c>
      <c r="F363" s="2">
        <v>967208</v>
      </c>
      <c r="G363" s="2">
        <v>1000450.0000000001</v>
      </c>
      <c r="H363" s="2">
        <v>2553524.5005717878</v>
      </c>
      <c r="I363" s="2">
        <f>33.18*(100000)</f>
        <v>3318000</v>
      </c>
      <c r="J363" s="2">
        <f t="shared" si="90"/>
        <v>1467770</v>
      </c>
      <c r="K363" s="2">
        <f t="shared" si="91"/>
        <v>2531486</v>
      </c>
      <c r="L363" s="2">
        <f t="shared" si="92"/>
        <v>818000</v>
      </c>
      <c r="M363" s="2">
        <f t="shared" si="93"/>
        <v>1481490</v>
      </c>
      <c r="N363" s="2">
        <f t="shared" si="94"/>
        <v>2350792</v>
      </c>
      <c r="O363" s="2">
        <f t="shared" si="95"/>
        <v>2317550</v>
      </c>
      <c r="P363" s="2">
        <f t="shared" si="96"/>
        <v>764475.49942821218</v>
      </c>
      <c r="Q363" s="3">
        <f t="shared" si="97"/>
        <v>5902325405.2054796</v>
      </c>
      <c r="R363" s="3">
        <f t="shared" si="98"/>
        <v>17557318816.975342</v>
      </c>
      <c r="S363" s="3">
        <f t="shared" si="99"/>
        <v>1833216438.3561645</v>
      </c>
      <c r="T363" s="3">
        <f t="shared" si="100"/>
        <v>6013185260.547945</v>
      </c>
      <c r="U363" s="3">
        <f t="shared" si="101"/>
        <v>15140337060.997261</v>
      </c>
      <c r="V363" s="3">
        <f t="shared" si="102"/>
        <v>14715172609.589041</v>
      </c>
      <c r="W363" s="3">
        <f t="shared" si="103"/>
        <v>1601158326.6466148</v>
      </c>
      <c r="X363" s="3">
        <f t="shared" si="104"/>
        <v>584422789226.0144</v>
      </c>
      <c r="Y363" s="3">
        <f t="shared" si="105"/>
        <v>24602225099861.137</v>
      </c>
      <c r="AK363">
        <v>967208</v>
      </c>
      <c r="AM363">
        <f t="shared" si="106"/>
        <v>967208</v>
      </c>
      <c r="AN363">
        <v>1.0004500000000001</v>
      </c>
      <c r="AO363">
        <v>1000000</v>
      </c>
      <c r="AP363">
        <f t="shared" si="107"/>
        <v>1000450.0000000001</v>
      </c>
    </row>
    <row r="364" spans="1:42" x14ac:dyDescent="0.4">
      <c r="A364">
        <v>353</v>
      </c>
      <c r="B364" s="2">
        <v>1772500</v>
      </c>
      <c r="C364" s="2">
        <v>1854810</v>
      </c>
      <c r="D364" s="2">
        <f>IF(B364&lt;2500000,2500000,B364)</f>
        <v>2500000</v>
      </c>
      <c r="E364" s="2">
        <v>1749290</v>
      </c>
      <c r="F364" s="2">
        <v>961407</v>
      </c>
      <c r="G364" s="2">
        <v>972207</v>
      </c>
      <c r="H364" s="2">
        <v>2598057.9573467029</v>
      </c>
      <c r="I364" s="2">
        <f>33.37*(100000)</f>
        <v>3336999.9999999995</v>
      </c>
      <c r="J364" s="2">
        <f t="shared" si="90"/>
        <v>1564499.9999999995</v>
      </c>
      <c r="K364" s="2">
        <f t="shared" si="91"/>
        <v>1482189.9999999995</v>
      </c>
      <c r="L364" s="2">
        <f t="shared" si="92"/>
        <v>836999.99999999953</v>
      </c>
      <c r="M364" s="2">
        <f t="shared" si="93"/>
        <v>1587709.9999999995</v>
      </c>
      <c r="N364" s="2">
        <f t="shared" si="94"/>
        <v>2375592.9999999995</v>
      </c>
      <c r="O364" s="2">
        <f t="shared" si="95"/>
        <v>2364792.9999999995</v>
      </c>
      <c r="P364" s="2">
        <f t="shared" si="96"/>
        <v>738942.04265329661</v>
      </c>
      <c r="Q364" s="3">
        <f t="shared" si="97"/>
        <v>6705918493.1506805</v>
      </c>
      <c r="R364" s="3">
        <f t="shared" si="98"/>
        <v>6018869030.4109545</v>
      </c>
      <c r="S364" s="3">
        <f t="shared" si="99"/>
        <v>1919367123.2876692</v>
      </c>
      <c r="T364" s="3">
        <f t="shared" si="100"/>
        <v>6906364504.3835573</v>
      </c>
      <c r="U364" s="3">
        <f t="shared" si="101"/>
        <v>15461485209.997255</v>
      </c>
      <c r="V364" s="3">
        <f t="shared" si="102"/>
        <v>15321221733.83287</v>
      </c>
      <c r="W364" s="3">
        <f t="shared" si="103"/>
        <v>1495987239.4537709</v>
      </c>
      <c r="X364" s="3">
        <f t="shared" si="104"/>
        <v>546035342400.6264</v>
      </c>
      <c r="Y364" s="3">
        <f t="shared" si="105"/>
        <v>24414103705340.59</v>
      </c>
      <c r="AK364">
        <v>961407</v>
      </c>
      <c r="AM364">
        <f t="shared" si="106"/>
        <v>961407</v>
      </c>
      <c r="AN364">
        <v>972207</v>
      </c>
      <c r="AP364">
        <f t="shared" si="107"/>
        <v>972207</v>
      </c>
    </row>
    <row r="365" spans="1:42" x14ac:dyDescent="0.4">
      <c r="A365">
        <v>354</v>
      </c>
      <c r="B365" s="2">
        <v>1528660</v>
      </c>
      <c r="C365" s="2">
        <v>624422</v>
      </c>
      <c r="D365" s="2">
        <f>IF(B365&lt;2500000,2500000,B365)</f>
        <v>2500000</v>
      </c>
      <c r="E365" s="2">
        <v>1477810</v>
      </c>
      <c r="F365" s="2">
        <v>838060</v>
      </c>
      <c r="G365" s="2">
        <v>887680</v>
      </c>
      <c r="H365" s="2">
        <v>2513410.6267208629</v>
      </c>
      <c r="I365" s="2">
        <f>33.13*(100000)</f>
        <v>3313000.0000000005</v>
      </c>
      <c r="J365" s="2">
        <f t="shared" si="90"/>
        <v>1784340.0000000005</v>
      </c>
      <c r="K365" s="2">
        <f t="shared" si="91"/>
        <v>2688578.0000000005</v>
      </c>
      <c r="L365" s="2">
        <f t="shared" si="92"/>
        <v>813000.00000000047</v>
      </c>
      <c r="M365" s="2">
        <f t="shared" si="93"/>
        <v>1835190.0000000005</v>
      </c>
      <c r="N365" s="2">
        <f t="shared" si="94"/>
        <v>2474940.0000000005</v>
      </c>
      <c r="O365" s="2">
        <f t="shared" si="95"/>
        <v>2425320.0000000005</v>
      </c>
      <c r="P365" s="2">
        <f t="shared" si="96"/>
        <v>799589.37327913754</v>
      </c>
      <c r="Q365" s="3">
        <f t="shared" si="97"/>
        <v>8722929412.6027431</v>
      </c>
      <c r="R365" s="3">
        <f t="shared" si="98"/>
        <v>19803977156.394527</v>
      </c>
      <c r="S365" s="3">
        <f t="shared" si="99"/>
        <v>1810873972.6027417</v>
      </c>
      <c r="T365" s="3">
        <f t="shared" si="100"/>
        <v>9227184482.4657593</v>
      </c>
      <c r="U365" s="3">
        <f t="shared" si="101"/>
        <v>16781720557.808224</v>
      </c>
      <c r="V365" s="3">
        <f t="shared" si="102"/>
        <v>16115553705.205484</v>
      </c>
      <c r="W365" s="3">
        <f t="shared" si="103"/>
        <v>1751625111.9477367</v>
      </c>
      <c r="X365" s="3">
        <f t="shared" si="104"/>
        <v>639343165860.92395</v>
      </c>
      <c r="Y365" s="3">
        <f t="shared" si="105"/>
        <v>24651850729998.121</v>
      </c>
      <c r="AK365">
        <v>838060</v>
      </c>
      <c r="AM365">
        <f t="shared" si="106"/>
        <v>838060</v>
      </c>
      <c r="AN365">
        <v>887680</v>
      </c>
      <c r="AP365">
        <f t="shared" si="107"/>
        <v>887680</v>
      </c>
    </row>
    <row r="366" spans="1:42" x14ac:dyDescent="0.4">
      <c r="A366">
        <v>355</v>
      </c>
      <c r="B366" s="2">
        <v>1496250</v>
      </c>
      <c r="C366" s="2">
        <v>1767890</v>
      </c>
      <c r="D366" s="2">
        <f>IF(B366&lt;2500000,2500000,B366)</f>
        <v>2500000</v>
      </c>
      <c r="E366" s="2">
        <v>1450300</v>
      </c>
      <c r="F366" s="2">
        <v>848103</v>
      </c>
      <c r="G366" s="2">
        <v>871765</v>
      </c>
      <c r="H366" s="2">
        <v>2574315.7966876738</v>
      </c>
      <c r="I366" s="2">
        <f>32.31*(100000)</f>
        <v>3231000</v>
      </c>
      <c r="J366" s="2">
        <f t="shared" si="90"/>
        <v>1734750</v>
      </c>
      <c r="K366" s="2">
        <f t="shared" si="91"/>
        <v>1463110</v>
      </c>
      <c r="L366" s="2">
        <f t="shared" si="92"/>
        <v>731000</v>
      </c>
      <c r="M366" s="2">
        <f t="shared" si="93"/>
        <v>1780700</v>
      </c>
      <c r="N366" s="2">
        <f t="shared" si="94"/>
        <v>2382897</v>
      </c>
      <c r="O366" s="2">
        <f t="shared" si="95"/>
        <v>2359235</v>
      </c>
      <c r="P366" s="2">
        <f t="shared" si="96"/>
        <v>656684.20331232622</v>
      </c>
      <c r="Q366" s="3">
        <f t="shared" si="97"/>
        <v>8244815239.7260275</v>
      </c>
      <c r="R366" s="3">
        <f t="shared" si="98"/>
        <v>5864906498.90411</v>
      </c>
      <c r="S366" s="3">
        <f t="shared" si="99"/>
        <v>1464002739.7260275</v>
      </c>
      <c r="T366" s="3">
        <f t="shared" si="100"/>
        <v>8687376684.9315071</v>
      </c>
      <c r="U366" s="3">
        <f t="shared" si="101"/>
        <v>15556707157.832876</v>
      </c>
      <c r="V366" s="3">
        <f t="shared" si="102"/>
        <v>15249287082.80822</v>
      </c>
      <c r="W366" s="3">
        <f t="shared" si="103"/>
        <v>1181463405.1505332</v>
      </c>
      <c r="X366" s="3">
        <f t="shared" si="104"/>
        <v>431234142879.94458</v>
      </c>
      <c r="Y366" s="3">
        <f t="shared" si="105"/>
        <v>25472845064244.699</v>
      </c>
      <c r="AK366">
        <v>848103</v>
      </c>
      <c r="AM366">
        <f t="shared" si="106"/>
        <v>848103</v>
      </c>
      <c r="AN366">
        <v>871765</v>
      </c>
      <c r="AP366">
        <f t="shared" si="107"/>
        <v>871765</v>
      </c>
    </row>
    <row r="367" spans="1:42" x14ac:dyDescent="0.4">
      <c r="A367">
        <v>356</v>
      </c>
      <c r="B367" s="2">
        <v>1757580</v>
      </c>
      <c r="C367" s="2">
        <v>2809460</v>
      </c>
      <c r="D367" s="2">
        <f>IF(B367&lt;2500000,2500000,B367)</f>
        <v>2500000</v>
      </c>
      <c r="E367" s="2">
        <v>1732590</v>
      </c>
      <c r="F367" s="2">
        <v>900626</v>
      </c>
      <c r="G367" s="2">
        <v>906906</v>
      </c>
      <c r="H367" s="2">
        <v>2600867.0905126482</v>
      </c>
      <c r="I367" s="2">
        <f>32.31*(100000)</f>
        <v>3231000</v>
      </c>
      <c r="J367" s="2">
        <f t="shared" si="90"/>
        <v>1473420</v>
      </c>
      <c r="K367" s="2">
        <f t="shared" si="91"/>
        <v>421540</v>
      </c>
      <c r="L367" s="2">
        <f t="shared" si="92"/>
        <v>731000</v>
      </c>
      <c r="M367" s="2">
        <f t="shared" si="93"/>
        <v>1498410</v>
      </c>
      <c r="N367" s="2">
        <f t="shared" si="94"/>
        <v>2330374</v>
      </c>
      <c r="O367" s="2">
        <f t="shared" si="95"/>
        <v>2324094</v>
      </c>
      <c r="P367" s="2">
        <f t="shared" si="96"/>
        <v>630132.90948735178</v>
      </c>
      <c r="Q367" s="3">
        <f t="shared" si="97"/>
        <v>5947853414.7945204</v>
      </c>
      <c r="R367" s="3">
        <f t="shared" si="98"/>
        <v>486838278.3561644</v>
      </c>
      <c r="S367" s="3">
        <f t="shared" si="99"/>
        <v>1464002739.7260275</v>
      </c>
      <c r="T367" s="3">
        <f t="shared" si="100"/>
        <v>6151321994.7945204</v>
      </c>
      <c r="U367" s="3">
        <f t="shared" si="101"/>
        <v>14878473917.468493</v>
      </c>
      <c r="V367" s="3">
        <f t="shared" si="102"/>
        <v>14798391563.934246</v>
      </c>
      <c r="W367" s="3">
        <f t="shared" si="103"/>
        <v>1087856119.504096</v>
      </c>
      <c r="X367" s="3">
        <f t="shared" si="104"/>
        <v>397067483618.99506</v>
      </c>
      <c r="Y367" s="3">
        <f t="shared" si="105"/>
        <v>25472845064244.699</v>
      </c>
      <c r="AK367">
        <v>900626</v>
      </c>
      <c r="AM367">
        <f t="shared" si="106"/>
        <v>900626</v>
      </c>
      <c r="AN367">
        <v>906906</v>
      </c>
      <c r="AP367">
        <f t="shared" si="107"/>
        <v>906906</v>
      </c>
    </row>
    <row r="368" spans="1:42" x14ac:dyDescent="0.4">
      <c r="A368">
        <v>357</v>
      </c>
      <c r="B368" s="2">
        <v>1492080</v>
      </c>
      <c r="C368" s="2">
        <v>929190</v>
      </c>
      <c r="D368" s="2">
        <f>IF(B368&lt;2500000,2500000,B368)</f>
        <v>2500000</v>
      </c>
      <c r="E368" s="2">
        <v>1445590</v>
      </c>
      <c r="F368" s="2">
        <v>776498</v>
      </c>
      <c r="G368" s="2">
        <v>832671</v>
      </c>
      <c r="H368" s="2">
        <v>2512936.4498243099</v>
      </c>
      <c r="I368" s="2">
        <f>32.05*(100000)</f>
        <v>3204999.9999999995</v>
      </c>
      <c r="J368" s="2">
        <f t="shared" si="90"/>
        <v>1712919.9999999995</v>
      </c>
      <c r="K368" s="2">
        <f t="shared" si="91"/>
        <v>2275809.9999999995</v>
      </c>
      <c r="L368" s="2">
        <f t="shared" si="92"/>
        <v>704999.99999999953</v>
      </c>
      <c r="M368" s="2">
        <f t="shared" si="93"/>
        <v>1759409.9999999995</v>
      </c>
      <c r="N368" s="2">
        <f t="shared" si="94"/>
        <v>2428501.9999999995</v>
      </c>
      <c r="O368" s="2">
        <f t="shared" si="95"/>
        <v>2372328.9999999995</v>
      </c>
      <c r="P368" s="2">
        <f t="shared" si="96"/>
        <v>692063.55017568963</v>
      </c>
      <c r="Q368" s="3">
        <f t="shared" si="97"/>
        <v>8038616236.7123251</v>
      </c>
      <c r="R368" s="3">
        <f t="shared" si="98"/>
        <v>14189893578.356159</v>
      </c>
      <c r="S368" s="3">
        <f t="shared" si="99"/>
        <v>1361712328.7671216</v>
      </c>
      <c r="T368" s="3">
        <f t="shared" si="100"/>
        <v>8480886433.1506805</v>
      </c>
      <c r="U368" s="3">
        <f t="shared" si="101"/>
        <v>16157868394.531502</v>
      </c>
      <c r="V368" s="3">
        <f t="shared" si="102"/>
        <v>15419027080.112324</v>
      </c>
      <c r="W368" s="3">
        <f t="shared" si="103"/>
        <v>1312197143.7856967</v>
      </c>
      <c r="X368" s="3">
        <f t="shared" si="104"/>
        <v>478951957481.7793</v>
      </c>
      <c r="Y368" s="3">
        <f t="shared" si="105"/>
        <v>25735968340957.027</v>
      </c>
      <c r="AK368">
        <v>776498</v>
      </c>
      <c r="AM368">
        <f t="shared" si="106"/>
        <v>776498</v>
      </c>
      <c r="AN368">
        <v>832671</v>
      </c>
      <c r="AP368">
        <f t="shared" si="107"/>
        <v>832671</v>
      </c>
    </row>
    <row r="369" spans="1:42" x14ac:dyDescent="0.4">
      <c r="A369">
        <v>358</v>
      </c>
      <c r="B369" s="2">
        <v>1100930</v>
      </c>
      <c r="C369" s="2">
        <v>411223</v>
      </c>
      <c r="D369" s="2">
        <f>IF(B369&lt;2500000,2500000,B369)</f>
        <v>2500000</v>
      </c>
      <c r="E369" s="2">
        <v>1036200</v>
      </c>
      <c r="F369" s="2">
        <v>683107</v>
      </c>
      <c r="G369" s="2">
        <v>746878</v>
      </c>
      <c r="H369" s="2">
        <v>2507640.3735450152</v>
      </c>
      <c r="I369" s="2">
        <f>32.42*(100000)</f>
        <v>3242000</v>
      </c>
      <c r="J369" s="2">
        <f t="shared" si="90"/>
        <v>2141070</v>
      </c>
      <c r="K369" s="2">
        <f t="shared" si="91"/>
        <v>2830777</v>
      </c>
      <c r="L369" s="2">
        <f t="shared" si="92"/>
        <v>742000</v>
      </c>
      <c r="M369" s="2">
        <f t="shared" si="93"/>
        <v>2205800</v>
      </c>
      <c r="N369" s="2">
        <f t="shared" si="94"/>
        <v>2558893</v>
      </c>
      <c r="O369" s="2">
        <f t="shared" si="95"/>
        <v>2495122</v>
      </c>
      <c r="P369" s="2">
        <f t="shared" si="96"/>
        <v>734359.62645498477</v>
      </c>
      <c r="Q369" s="3">
        <f t="shared" si="97"/>
        <v>12559399301.09589</v>
      </c>
      <c r="R369" s="3">
        <f t="shared" si="98"/>
        <v>21954242256.791782</v>
      </c>
      <c r="S369" s="3">
        <f t="shared" si="99"/>
        <v>1508394520.5479453</v>
      </c>
      <c r="T369" s="3">
        <f t="shared" si="100"/>
        <v>13330283945.205479</v>
      </c>
      <c r="U369" s="3">
        <f t="shared" si="101"/>
        <v>17939543521.778084</v>
      </c>
      <c r="V369" s="3">
        <f t="shared" si="102"/>
        <v>17056530944.887671</v>
      </c>
      <c r="W369" s="3">
        <f t="shared" si="103"/>
        <v>1477490577.9920678</v>
      </c>
      <c r="X369" s="3">
        <f t="shared" si="104"/>
        <v>539284060967.10474</v>
      </c>
      <c r="Y369" s="3">
        <f t="shared" si="105"/>
        <v>25361930677943.328</v>
      </c>
      <c r="AK369">
        <v>683107</v>
      </c>
      <c r="AM369">
        <f t="shared" si="106"/>
        <v>683107</v>
      </c>
      <c r="AN369">
        <v>746878</v>
      </c>
      <c r="AP369">
        <f t="shared" si="107"/>
        <v>746878</v>
      </c>
    </row>
    <row r="370" spans="1:42" x14ac:dyDescent="0.4">
      <c r="A370">
        <v>359</v>
      </c>
      <c r="B370" s="2">
        <v>873599</v>
      </c>
      <c r="C370" s="2">
        <v>188657</v>
      </c>
      <c r="D370" s="2">
        <f>IF(B370&lt;2500000,2500000,B370)</f>
        <v>2500000</v>
      </c>
      <c r="E370" s="2">
        <v>798635</v>
      </c>
      <c r="F370" s="2">
        <v>603249</v>
      </c>
      <c r="G370" s="2">
        <v>672551</v>
      </c>
      <c r="H370" s="2">
        <v>2500000</v>
      </c>
      <c r="I370" s="2">
        <f>31.89*(100000)</f>
        <v>3189000</v>
      </c>
      <c r="J370" s="2">
        <f t="shared" si="90"/>
        <v>2315401</v>
      </c>
      <c r="K370" s="2">
        <f t="shared" si="91"/>
        <v>3000343</v>
      </c>
      <c r="L370" s="2">
        <f t="shared" si="92"/>
        <v>689000</v>
      </c>
      <c r="M370" s="2">
        <f t="shared" si="93"/>
        <v>2390365</v>
      </c>
      <c r="N370" s="2">
        <f t="shared" si="94"/>
        <v>2585751</v>
      </c>
      <c r="O370" s="2">
        <f t="shared" si="95"/>
        <v>2516449</v>
      </c>
      <c r="P370" s="2">
        <f t="shared" si="96"/>
        <v>689000</v>
      </c>
      <c r="Q370" s="3">
        <f t="shared" si="97"/>
        <v>14687895317.263014</v>
      </c>
      <c r="R370" s="3">
        <f t="shared" si="98"/>
        <v>24663172925.065754</v>
      </c>
      <c r="S370" s="3">
        <f t="shared" si="99"/>
        <v>1300605479.4520547</v>
      </c>
      <c r="T370" s="3">
        <f t="shared" si="100"/>
        <v>15654369406.09589</v>
      </c>
      <c r="U370" s="3">
        <f t="shared" si="101"/>
        <v>18318104750.687672</v>
      </c>
      <c r="V370" s="3">
        <f t="shared" si="102"/>
        <v>17349357724.934246</v>
      </c>
      <c r="W370" s="3">
        <f t="shared" si="103"/>
        <v>1300605479.4520547</v>
      </c>
      <c r="X370" s="3">
        <f t="shared" si="104"/>
        <v>474721000000</v>
      </c>
      <c r="Y370" s="3">
        <f t="shared" si="105"/>
        <v>25898562357395.383</v>
      </c>
      <c r="AK370">
        <v>603249</v>
      </c>
      <c r="AM370">
        <f t="shared" si="106"/>
        <v>603249</v>
      </c>
      <c r="AN370">
        <v>672551</v>
      </c>
      <c r="AP370">
        <f t="shared" si="107"/>
        <v>672551</v>
      </c>
    </row>
    <row r="371" spans="1:42" x14ac:dyDescent="0.4">
      <c r="A371">
        <v>360</v>
      </c>
      <c r="B371" s="2">
        <v>713518</v>
      </c>
      <c r="C371" s="2">
        <v>87939</v>
      </c>
      <c r="D371" s="2">
        <f>IF(B371&lt;2500000,2500000,B371)</f>
        <v>2500000</v>
      </c>
      <c r="E371" s="2">
        <v>633989</v>
      </c>
      <c r="F371" s="2">
        <v>533579</v>
      </c>
      <c r="G371" s="2">
        <v>606691</v>
      </c>
      <c r="H371" s="2">
        <v>2500000</v>
      </c>
      <c r="I371" s="2">
        <f>31.82*(100000)</f>
        <v>3182000</v>
      </c>
      <c r="J371" s="2">
        <f t="shared" si="90"/>
        <v>2468482</v>
      </c>
      <c r="K371" s="2">
        <f t="shared" si="91"/>
        <v>3094061</v>
      </c>
      <c r="L371" s="2">
        <f t="shared" si="92"/>
        <v>682000</v>
      </c>
      <c r="M371" s="2">
        <f t="shared" si="93"/>
        <v>2548011</v>
      </c>
      <c r="N371" s="2">
        <f t="shared" si="94"/>
        <v>2648421</v>
      </c>
      <c r="O371" s="2">
        <f t="shared" si="95"/>
        <v>2575309</v>
      </c>
      <c r="P371" s="2">
        <f t="shared" si="96"/>
        <v>682000</v>
      </c>
      <c r="Q371" s="3">
        <f t="shared" si="97"/>
        <v>16694255847.463015</v>
      </c>
      <c r="R371" s="3">
        <f t="shared" si="98"/>
        <v>26227982114.304111</v>
      </c>
      <c r="S371" s="3">
        <f t="shared" si="99"/>
        <v>1274312328.7671232</v>
      </c>
      <c r="T371" s="3">
        <f t="shared" si="100"/>
        <v>17787287824.98904</v>
      </c>
      <c r="U371" s="3">
        <f t="shared" si="101"/>
        <v>19216804912.98904</v>
      </c>
      <c r="V371" s="3">
        <f t="shared" si="102"/>
        <v>18170456015.016438</v>
      </c>
      <c r="W371" s="3">
        <f t="shared" si="103"/>
        <v>1274312328.7671232</v>
      </c>
      <c r="X371" s="3">
        <f t="shared" si="104"/>
        <v>465124000000</v>
      </c>
      <c r="Y371" s="3">
        <f t="shared" si="105"/>
        <v>25969858239587.164</v>
      </c>
      <c r="AK371">
        <v>533579</v>
      </c>
      <c r="AM371">
        <f t="shared" si="106"/>
        <v>533579</v>
      </c>
      <c r="AN371">
        <v>606691</v>
      </c>
      <c r="AP371">
        <f t="shared" si="107"/>
        <v>606691</v>
      </c>
    </row>
    <row r="372" spans="1:42" x14ac:dyDescent="0.4">
      <c r="A372">
        <v>361</v>
      </c>
      <c r="B372" s="2">
        <v>586592</v>
      </c>
      <c r="C372" s="2">
        <v>41739.199999999997</v>
      </c>
      <c r="D372" s="2">
        <f>IF(B372&lt;2500000,2500000,B372)</f>
        <v>2500000</v>
      </c>
      <c r="E372" s="2">
        <v>506070</v>
      </c>
      <c r="F372" s="2">
        <v>470046</v>
      </c>
      <c r="G372" s="2">
        <v>546362</v>
      </c>
      <c r="H372" s="2">
        <v>2500000</v>
      </c>
      <c r="I372" s="2">
        <f>31.68*(100000)</f>
        <v>3168000</v>
      </c>
      <c r="J372" s="2">
        <f t="shared" si="90"/>
        <v>2581408</v>
      </c>
      <c r="K372" s="2">
        <f t="shared" si="91"/>
        <v>3126260.8</v>
      </c>
      <c r="L372" s="2">
        <f t="shared" si="92"/>
        <v>668000</v>
      </c>
      <c r="M372" s="2">
        <f t="shared" si="93"/>
        <v>2661930</v>
      </c>
      <c r="N372" s="2">
        <f t="shared" si="94"/>
        <v>2697954</v>
      </c>
      <c r="O372" s="2">
        <f t="shared" si="95"/>
        <v>2621638</v>
      </c>
      <c r="P372" s="2">
        <f t="shared" si="96"/>
        <v>668000</v>
      </c>
      <c r="Q372" s="3">
        <f t="shared" si="97"/>
        <v>18256622636.887672</v>
      </c>
      <c r="R372" s="3">
        <f t="shared" si="98"/>
        <v>26776730382.511337</v>
      </c>
      <c r="S372" s="3">
        <f t="shared" si="99"/>
        <v>1222531506.8493152</v>
      </c>
      <c r="T372" s="3">
        <f t="shared" si="100"/>
        <v>19413346095.61644</v>
      </c>
      <c r="U372" s="3">
        <f t="shared" si="101"/>
        <v>19942344619.495892</v>
      </c>
      <c r="V372" s="3">
        <f t="shared" si="102"/>
        <v>18830098090.531506</v>
      </c>
      <c r="W372" s="3">
        <f t="shared" si="103"/>
        <v>1222531506.8493152</v>
      </c>
      <c r="X372" s="3">
        <f t="shared" si="104"/>
        <v>446224000000</v>
      </c>
      <c r="Y372" s="3">
        <f t="shared" si="105"/>
        <v>26112744003970.727</v>
      </c>
      <c r="AK372">
        <v>470046</v>
      </c>
      <c r="AM372">
        <f t="shared" si="106"/>
        <v>470046</v>
      </c>
      <c r="AN372">
        <v>546362</v>
      </c>
      <c r="AP372">
        <f t="shared" si="107"/>
        <v>546362</v>
      </c>
    </row>
    <row r="373" spans="1:42" x14ac:dyDescent="0.4">
      <c r="A373">
        <v>362</v>
      </c>
      <c r="B373" s="2">
        <v>482267</v>
      </c>
      <c r="C373" s="2">
        <v>20047</v>
      </c>
      <c r="D373" s="2">
        <f>IF(B373&lt;2500000,2500000,B373)</f>
        <v>2500000</v>
      </c>
      <c r="E373" s="2">
        <v>403990</v>
      </c>
      <c r="F373" s="2">
        <v>413964</v>
      </c>
      <c r="G373" s="2">
        <v>491456</v>
      </c>
      <c r="H373" s="2">
        <v>2500000</v>
      </c>
      <c r="I373" s="2">
        <f>31.84*(100000)</f>
        <v>3184000</v>
      </c>
      <c r="J373" s="2">
        <f t="shared" si="90"/>
        <v>2701733</v>
      </c>
      <c r="K373" s="2">
        <f t="shared" si="91"/>
        <v>3163953</v>
      </c>
      <c r="L373" s="2">
        <f t="shared" si="92"/>
        <v>684000</v>
      </c>
      <c r="M373" s="2">
        <f t="shared" si="93"/>
        <v>2780010</v>
      </c>
      <c r="N373" s="2">
        <f t="shared" si="94"/>
        <v>2770036</v>
      </c>
      <c r="O373" s="2">
        <f t="shared" si="95"/>
        <v>2692544</v>
      </c>
      <c r="P373" s="2">
        <f t="shared" si="96"/>
        <v>684000</v>
      </c>
      <c r="Q373" s="3">
        <f t="shared" si="97"/>
        <v>19998249872.024658</v>
      </c>
      <c r="R373" s="3">
        <f t="shared" si="98"/>
        <v>27426297496.463013</v>
      </c>
      <c r="S373" s="3">
        <f t="shared" si="99"/>
        <v>1281797260.2739725</v>
      </c>
      <c r="T373" s="3">
        <f t="shared" si="100"/>
        <v>21173850959.178082</v>
      </c>
      <c r="U373" s="3">
        <f t="shared" si="101"/>
        <v>21022190250.126026</v>
      </c>
      <c r="V373" s="3">
        <f t="shared" si="102"/>
        <v>19862447101.194519</v>
      </c>
      <c r="W373" s="3">
        <f t="shared" si="103"/>
        <v>1281797260.2739725</v>
      </c>
      <c r="X373" s="3">
        <f t="shared" si="104"/>
        <v>467856000000</v>
      </c>
      <c r="Y373" s="3">
        <f t="shared" si="105"/>
        <v>25949477987532.367</v>
      </c>
      <c r="AK373">
        <v>413964</v>
      </c>
      <c r="AM373">
        <f t="shared" si="106"/>
        <v>413964</v>
      </c>
      <c r="AN373">
        <v>491456</v>
      </c>
      <c r="AP373">
        <f t="shared" si="107"/>
        <v>491456</v>
      </c>
    </row>
    <row r="374" spans="1:42" x14ac:dyDescent="0.4">
      <c r="A374">
        <v>363</v>
      </c>
      <c r="B374" s="2">
        <v>396364</v>
      </c>
      <c r="C374" s="2">
        <v>9701.43</v>
      </c>
      <c r="D374" s="2">
        <f>IF(B374&lt;2500000,2500000,B374)</f>
        <v>2500000</v>
      </c>
      <c r="E374" s="2">
        <v>322872</v>
      </c>
      <c r="F374" s="2">
        <v>364294</v>
      </c>
      <c r="G374" s="2">
        <v>441912</v>
      </c>
      <c r="H374" s="2">
        <v>2500000</v>
      </c>
      <c r="I374" s="2">
        <f>32.97*(100000)</f>
        <v>3297000</v>
      </c>
      <c r="J374" s="2">
        <f t="shared" si="90"/>
        <v>2900636</v>
      </c>
      <c r="K374" s="2">
        <f t="shared" si="91"/>
        <v>3287298.57</v>
      </c>
      <c r="L374" s="2">
        <f t="shared" si="92"/>
        <v>797000</v>
      </c>
      <c r="M374" s="2">
        <f t="shared" si="93"/>
        <v>2974128</v>
      </c>
      <c r="N374" s="2">
        <f t="shared" si="94"/>
        <v>2932706</v>
      </c>
      <c r="O374" s="2">
        <f t="shared" si="95"/>
        <v>2855088</v>
      </c>
      <c r="P374" s="2">
        <f t="shared" si="96"/>
        <v>797000</v>
      </c>
      <c r="Q374" s="3">
        <f t="shared" si="97"/>
        <v>23051203299.98904</v>
      </c>
      <c r="R374" s="3">
        <f t="shared" si="98"/>
        <v>29606388735.134365</v>
      </c>
      <c r="S374" s="3">
        <f t="shared" si="99"/>
        <v>1740298630.1369863</v>
      </c>
      <c r="T374" s="3">
        <f t="shared" si="100"/>
        <v>24234074959.956165</v>
      </c>
      <c r="U374" s="3">
        <f t="shared" si="101"/>
        <v>23563738308.043835</v>
      </c>
      <c r="V374" s="3">
        <f t="shared" si="102"/>
        <v>22332952021.216438</v>
      </c>
      <c r="W374" s="3">
        <f t="shared" si="103"/>
        <v>1740298630.1369863</v>
      </c>
      <c r="X374" s="3">
        <f t="shared" si="104"/>
        <v>635209000000</v>
      </c>
      <c r="Y374" s="3">
        <f t="shared" si="105"/>
        <v>24810988746436.48</v>
      </c>
      <c r="AK374">
        <v>364294</v>
      </c>
      <c r="AM374">
        <f t="shared" si="106"/>
        <v>364294</v>
      </c>
      <c r="AN374">
        <v>441912</v>
      </c>
      <c r="AP374">
        <f t="shared" si="107"/>
        <v>441912</v>
      </c>
    </row>
    <row r="375" spans="1:42" x14ac:dyDescent="0.4">
      <c r="A375">
        <v>364</v>
      </c>
      <c r="B375" s="2">
        <v>327036</v>
      </c>
      <c r="C375" s="2">
        <v>4717.2299999999996</v>
      </c>
      <c r="D375" s="2">
        <f>IF(B375&lt;2500000,2500000,B375)</f>
        <v>2500000</v>
      </c>
      <c r="E375" s="2">
        <v>258982</v>
      </c>
      <c r="F375" s="2">
        <v>322326</v>
      </c>
      <c r="G375" s="2">
        <v>398358</v>
      </c>
      <c r="H375" s="2">
        <v>2500000</v>
      </c>
      <c r="I375" s="2">
        <f>32.71*(100000)</f>
        <v>3271000</v>
      </c>
      <c r="J375" s="2">
        <f t="shared" si="90"/>
        <v>2943964</v>
      </c>
      <c r="K375" s="2">
        <f t="shared" si="91"/>
        <v>3266282.77</v>
      </c>
      <c r="L375" s="2">
        <f t="shared" si="92"/>
        <v>771000</v>
      </c>
      <c r="M375" s="2">
        <f t="shared" si="93"/>
        <v>3012018</v>
      </c>
      <c r="N375" s="2">
        <f t="shared" si="94"/>
        <v>2948674</v>
      </c>
      <c r="O375" s="2">
        <f t="shared" si="95"/>
        <v>2872642</v>
      </c>
      <c r="P375" s="2">
        <f t="shared" si="96"/>
        <v>771000</v>
      </c>
      <c r="Q375" s="3">
        <f t="shared" si="97"/>
        <v>23744997351.495892</v>
      </c>
      <c r="R375" s="3">
        <f t="shared" si="98"/>
        <v>29229049681.092804</v>
      </c>
      <c r="S375" s="3">
        <f t="shared" si="99"/>
        <v>1628605479.4520547</v>
      </c>
      <c r="T375" s="3">
        <f t="shared" si="100"/>
        <v>24855486115.956165</v>
      </c>
      <c r="U375" s="3">
        <f t="shared" si="101"/>
        <v>23821036598.016438</v>
      </c>
      <c r="V375" s="3">
        <f t="shared" si="102"/>
        <v>22608416603.189041</v>
      </c>
      <c r="W375" s="3">
        <f t="shared" si="103"/>
        <v>1628605479.4520547</v>
      </c>
      <c r="X375" s="3">
        <f t="shared" si="104"/>
        <v>594441000000</v>
      </c>
      <c r="Y375" s="3">
        <f t="shared" si="105"/>
        <v>25070680023148.809</v>
      </c>
      <c r="AK375">
        <v>322326</v>
      </c>
      <c r="AM375">
        <f t="shared" si="106"/>
        <v>322326</v>
      </c>
      <c r="AN375">
        <v>398358</v>
      </c>
      <c r="AP375">
        <f t="shared" si="107"/>
        <v>398358</v>
      </c>
    </row>
    <row r="377" spans="1:42" x14ac:dyDescent="0.4">
      <c r="A377" t="s">
        <v>5</v>
      </c>
      <c r="B377" s="2">
        <f t="shared" ref="B377:C377" si="108">_xlfn.PERCENTILE.INC(B11:B375,0.01)</f>
        <v>0</v>
      </c>
      <c r="C377" s="2">
        <f t="shared" si="108"/>
        <v>0</v>
      </c>
      <c r="D377" s="2"/>
      <c r="E377" s="2"/>
      <c r="F377" s="2"/>
      <c r="G377" s="2"/>
      <c r="H377" s="2"/>
      <c r="I377" s="2">
        <f>_xlfn.PERCENTILE.INC($I$11:$I$375,0.01)</f>
        <v>2519760</v>
      </c>
      <c r="J377" s="10" t="s">
        <v>39</v>
      </c>
      <c r="K377" s="2">
        <f>I377*90</f>
        <v>226778400</v>
      </c>
    </row>
    <row r="378" spans="1:42" x14ac:dyDescent="0.4">
      <c r="A378" t="s">
        <v>6</v>
      </c>
      <c r="B378" s="3">
        <f t="shared" ref="B378:D378" si="109">MIN(B11:B375)</f>
        <v>0</v>
      </c>
      <c r="C378" s="3">
        <f t="shared" si="109"/>
        <v>0</v>
      </c>
      <c r="D378" s="3"/>
      <c r="E378" s="3"/>
      <c r="F378" s="3"/>
      <c r="G378" s="3"/>
      <c r="H378" s="3"/>
      <c r="I378" s="3">
        <f>MIN($I$11:$I$375)</f>
        <v>2482000</v>
      </c>
    </row>
    <row r="380" spans="1:42" x14ac:dyDescent="0.4">
      <c r="A380" t="s">
        <v>40</v>
      </c>
      <c r="G380" s="10" t="s">
        <v>40</v>
      </c>
      <c r="H380" s="10"/>
      <c r="I380" s="2">
        <f>_xlfn.PERCENTILE.INC($I$11:$I$375,0.99)</f>
        <v>123441520.00000064</v>
      </c>
    </row>
    <row r="381" spans="1:42" x14ac:dyDescent="0.4">
      <c r="A381" t="s">
        <v>43</v>
      </c>
      <c r="G381" s="10" t="s">
        <v>43</v>
      </c>
      <c r="H381" s="10"/>
      <c r="I381" s="2">
        <f>_xlfn.PERCENTILE.INC($I$11:$I$375,0.97)</f>
        <v>35884319.999999918</v>
      </c>
    </row>
    <row r="382" spans="1:42" x14ac:dyDescent="0.4">
      <c r="A382" t="s">
        <v>42</v>
      </c>
      <c r="G382" s="10" t="s">
        <v>42</v>
      </c>
      <c r="H382" s="10"/>
      <c r="I382" s="11">
        <f>_xlfn.PERCENTILE.INC($I$11:$I$375,0.95)</f>
        <v>18765000.000000007</v>
      </c>
    </row>
    <row r="383" spans="1:42" x14ac:dyDescent="0.4">
      <c r="A383" t="s">
        <v>41</v>
      </c>
      <c r="G383" s="10" t="s">
        <v>41</v>
      </c>
      <c r="H383" s="10"/>
      <c r="I383" s="2">
        <f>_xlfn.PERCENTILE.INC($I$11:$I$375,0.9)</f>
        <v>10260800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1B71-8F78-4085-A72A-BB488280B07B}">
  <dimension ref="A1:I366"/>
  <sheetViews>
    <sheetView workbookViewId="0">
      <selection activeCell="C34" sqref="C34"/>
    </sheetView>
  </sheetViews>
  <sheetFormatPr defaultRowHeight="18.75" x14ac:dyDescent="0.4"/>
  <cols>
    <col min="1" max="1" width="27.25" bestFit="1" customWidth="1"/>
    <col min="3" max="3" width="53.625" customWidth="1"/>
    <col min="4" max="4" width="12.375" customWidth="1"/>
    <col min="5" max="7" width="21.875" customWidth="1"/>
    <col min="8" max="8" width="21.375" bestFit="1" customWidth="1"/>
  </cols>
  <sheetData>
    <row r="1" spans="1:9" x14ac:dyDescent="0.4">
      <c r="A1" t="s">
        <v>1</v>
      </c>
      <c r="B1" t="s">
        <v>18</v>
      </c>
      <c r="E1" t="s">
        <v>7</v>
      </c>
      <c r="F1" t="s">
        <v>18</v>
      </c>
      <c r="H1" t="s">
        <v>10</v>
      </c>
      <c r="I1" t="s">
        <v>18</v>
      </c>
    </row>
    <row r="2" spans="1:9" x14ac:dyDescent="0.4">
      <c r="A2" s="2">
        <f>32.02*(100000)</f>
        <v>3202000.0000000005</v>
      </c>
      <c r="B2">
        <f>LOG(A2)</f>
        <v>6.5054213275832806</v>
      </c>
      <c r="E2" s="2">
        <v>0</v>
      </c>
      <c r="F2" s="9" t="e">
        <f>LOG(E2)</f>
        <v>#NUM!</v>
      </c>
      <c r="H2">
        <v>3202000.0000000005</v>
      </c>
      <c r="I2">
        <f>LOG(H2)</f>
        <v>6.5054213275832806</v>
      </c>
    </row>
    <row r="3" spans="1:9" x14ac:dyDescent="0.4">
      <c r="A3" s="2">
        <f>32.02*(100000)</f>
        <v>3202000.0000000005</v>
      </c>
      <c r="B3">
        <f t="shared" ref="B3:B66" si="0">LOG(A3)</f>
        <v>6.5054213275832806</v>
      </c>
      <c r="E3" s="2">
        <v>0</v>
      </c>
      <c r="F3" t="e">
        <f t="shared" ref="F3:F66" si="1">LOG(E3)</f>
        <v>#NUM!</v>
      </c>
      <c r="H3">
        <v>3202000.0000000005</v>
      </c>
      <c r="I3">
        <f t="shared" ref="I3:I66" si="2">LOG(H3)</f>
        <v>6.5054213275832806</v>
      </c>
    </row>
    <row r="4" spans="1:9" x14ac:dyDescent="0.4">
      <c r="A4" s="2">
        <f>32.02*(100000)</f>
        <v>3202000.0000000005</v>
      </c>
      <c r="B4">
        <f t="shared" si="0"/>
        <v>6.5054213275832806</v>
      </c>
      <c r="E4" s="2">
        <v>0</v>
      </c>
      <c r="F4" t="e">
        <f t="shared" si="1"/>
        <v>#NUM!</v>
      </c>
      <c r="H4">
        <v>3202000.0000000005</v>
      </c>
      <c r="I4">
        <f t="shared" si="2"/>
        <v>6.5054213275832806</v>
      </c>
    </row>
    <row r="5" spans="1:9" x14ac:dyDescent="0.4">
      <c r="A5" s="2">
        <f>31.79*(100000)</f>
        <v>3179000</v>
      </c>
      <c r="B5">
        <f t="shared" si="0"/>
        <v>6.5022905279147727</v>
      </c>
      <c r="E5" s="2">
        <v>0</v>
      </c>
      <c r="F5" t="e">
        <f t="shared" si="1"/>
        <v>#NUM!</v>
      </c>
      <c r="H5">
        <v>3179000</v>
      </c>
      <c r="I5">
        <f t="shared" si="2"/>
        <v>6.5022905279147727</v>
      </c>
    </row>
    <row r="6" spans="1:9" x14ac:dyDescent="0.4">
      <c r="A6" s="2">
        <f>31.4*(100000)</f>
        <v>3140000</v>
      </c>
      <c r="B6">
        <f t="shared" si="0"/>
        <v>6.4969296480732153</v>
      </c>
      <c r="E6" s="2">
        <v>0</v>
      </c>
      <c r="F6" t="e">
        <f t="shared" si="1"/>
        <v>#NUM!</v>
      </c>
      <c r="H6">
        <v>3140000</v>
      </c>
      <c r="I6">
        <f t="shared" si="2"/>
        <v>6.4969296480732153</v>
      </c>
    </row>
    <row r="7" spans="1:9" x14ac:dyDescent="0.4">
      <c r="A7" s="2">
        <f>31.5*(100000)</f>
        <v>3150000</v>
      </c>
      <c r="B7">
        <f t="shared" si="0"/>
        <v>6.4983105537896009</v>
      </c>
      <c r="E7" s="2">
        <v>0</v>
      </c>
      <c r="F7" t="e">
        <f t="shared" si="1"/>
        <v>#NUM!</v>
      </c>
      <c r="H7">
        <v>3150000</v>
      </c>
      <c r="I7">
        <f t="shared" si="2"/>
        <v>6.4983105537896009</v>
      </c>
    </row>
    <row r="8" spans="1:9" x14ac:dyDescent="0.4">
      <c r="A8" s="2">
        <f>31.97*(100000)</f>
        <v>3197000</v>
      </c>
      <c r="B8">
        <f t="shared" si="0"/>
        <v>6.504742636271688</v>
      </c>
      <c r="E8" s="2">
        <v>0</v>
      </c>
      <c r="F8" t="e">
        <f t="shared" si="1"/>
        <v>#NUM!</v>
      </c>
      <c r="H8">
        <v>3197000</v>
      </c>
      <c r="I8">
        <f t="shared" si="2"/>
        <v>6.504742636271688</v>
      </c>
    </row>
    <row r="9" spans="1:9" x14ac:dyDescent="0.4">
      <c r="A9" s="2">
        <f>32.2*(100000)</f>
        <v>3220000.0000000005</v>
      </c>
      <c r="B9">
        <f t="shared" si="0"/>
        <v>6.5078558716958312</v>
      </c>
      <c r="E9" s="2">
        <v>1078570</v>
      </c>
      <c r="F9">
        <f t="shared" si="1"/>
        <v>6.0328483363900709</v>
      </c>
      <c r="H9">
        <v>1990689.9999999995</v>
      </c>
      <c r="I9">
        <f t="shared" si="2"/>
        <v>6.299003634828229</v>
      </c>
    </row>
    <row r="10" spans="1:9" x14ac:dyDescent="0.4">
      <c r="A10" s="2">
        <f>32.94*(100000)</f>
        <v>3294000</v>
      </c>
      <c r="B10">
        <f t="shared" si="0"/>
        <v>6.5177235948337353</v>
      </c>
      <c r="E10" s="2">
        <v>5375920</v>
      </c>
      <c r="F10">
        <f t="shared" si="1"/>
        <v>6.7304527972821786</v>
      </c>
      <c r="H10">
        <v>2725240</v>
      </c>
      <c r="I10">
        <f t="shared" si="2"/>
        <v>6.4354047547175979</v>
      </c>
    </row>
    <row r="11" spans="1:9" x14ac:dyDescent="0.4">
      <c r="A11" s="2">
        <f>32.68*(100000)</f>
        <v>3268000</v>
      </c>
      <c r="B11">
        <f t="shared" si="0"/>
        <v>6.5142820478603776</v>
      </c>
      <c r="E11" s="2">
        <v>475284</v>
      </c>
      <c r="F11">
        <f t="shared" si="1"/>
        <v>5.6769531944153764</v>
      </c>
      <c r="H11">
        <v>2599024</v>
      </c>
      <c r="I11">
        <f t="shared" si="2"/>
        <v>6.4148102898971038</v>
      </c>
    </row>
    <row r="12" spans="1:9" x14ac:dyDescent="0.4">
      <c r="A12" s="2">
        <f>32.62*(100000)</f>
        <v>3261999.9999999995</v>
      </c>
      <c r="B12">
        <f t="shared" si="0"/>
        <v>6.5134839567042571</v>
      </c>
      <c r="E12" s="2">
        <v>312045</v>
      </c>
      <c r="F12">
        <f t="shared" si="1"/>
        <v>5.4942172281288659</v>
      </c>
      <c r="H12">
        <v>2962919.9999999995</v>
      </c>
      <c r="I12">
        <f t="shared" si="2"/>
        <v>6.4717199255173128</v>
      </c>
    </row>
    <row r="13" spans="1:9" x14ac:dyDescent="0.4">
      <c r="A13" s="2">
        <f>31.74*(100000)</f>
        <v>3174000</v>
      </c>
      <c r="B13">
        <f t="shared" si="0"/>
        <v>6.5016069224188291</v>
      </c>
      <c r="E13" s="2">
        <v>232831</v>
      </c>
      <c r="F13">
        <f t="shared" si="1"/>
        <v>5.3670408034376154</v>
      </c>
      <c r="H13">
        <v>3036066</v>
      </c>
      <c r="I13">
        <f t="shared" si="2"/>
        <v>6.4823112083052115</v>
      </c>
    </row>
    <row r="14" spans="1:9" x14ac:dyDescent="0.4">
      <c r="A14" s="2">
        <f>32.06*(100000)</f>
        <v>3206000</v>
      </c>
      <c r="B14">
        <f t="shared" si="0"/>
        <v>6.5059635180181257</v>
      </c>
      <c r="E14" s="2">
        <v>340262</v>
      </c>
      <c r="F14">
        <f t="shared" si="1"/>
        <v>5.5318134503834822</v>
      </c>
      <c r="H14">
        <v>2396612</v>
      </c>
      <c r="I14">
        <f t="shared" si="2"/>
        <v>6.3795977295286805</v>
      </c>
    </row>
    <row r="15" spans="1:9" x14ac:dyDescent="0.4">
      <c r="A15" s="2">
        <f>62.59*(100000)</f>
        <v>6259000</v>
      </c>
      <c r="B15">
        <f t="shared" si="0"/>
        <v>6.7965049515532963</v>
      </c>
      <c r="E15" s="2">
        <v>9372190</v>
      </c>
      <c r="F15">
        <f t="shared" si="1"/>
        <v>6.971841084354625</v>
      </c>
      <c r="H15">
        <v>37916200</v>
      </c>
      <c r="I15">
        <f t="shared" si="2"/>
        <v>7.5788248054137402</v>
      </c>
    </row>
    <row r="16" spans="1:9" x14ac:dyDescent="0.4">
      <c r="A16" s="2">
        <f>40.65*(100000)</f>
        <v>4065000</v>
      </c>
      <c r="B16">
        <f t="shared" si="0"/>
        <v>6.6090605499300867</v>
      </c>
      <c r="E16" s="2">
        <v>15010200</v>
      </c>
      <c r="F16">
        <f t="shared" si="1"/>
        <v>7.1763864789399872</v>
      </c>
      <c r="H16">
        <v>47020900</v>
      </c>
      <c r="I16">
        <f t="shared" si="2"/>
        <v>7.6722909374493424</v>
      </c>
    </row>
    <row r="17" spans="1:9" x14ac:dyDescent="0.4">
      <c r="A17" s="2">
        <f>38.38*(100000)</f>
        <v>3838000.0000000005</v>
      </c>
      <c r="B17">
        <f t="shared" si="0"/>
        <v>6.5841049703994532</v>
      </c>
      <c r="E17" s="2">
        <v>18225500</v>
      </c>
      <c r="F17">
        <f t="shared" si="1"/>
        <v>7.2606794516271762</v>
      </c>
      <c r="H17">
        <v>17662600</v>
      </c>
      <c r="I17">
        <f t="shared" si="2"/>
        <v>7.2470546337002242</v>
      </c>
    </row>
    <row r="18" spans="1:9" x14ac:dyDescent="0.4">
      <c r="A18" s="2">
        <f>32.55*(100000)</f>
        <v>3254999.9999999995</v>
      </c>
      <c r="B18">
        <f t="shared" si="0"/>
        <v>6.5125509929042105</v>
      </c>
      <c r="E18" s="2">
        <v>16520299.999999998</v>
      </c>
      <c r="F18">
        <f t="shared" si="1"/>
        <v>7.21801792961642</v>
      </c>
      <c r="H18">
        <v>6574610</v>
      </c>
      <c r="I18">
        <f t="shared" si="2"/>
        <v>6.817869995964621</v>
      </c>
    </row>
    <row r="19" spans="1:9" x14ac:dyDescent="0.4">
      <c r="A19" s="2">
        <f>32.81*(100000)</f>
        <v>3281000</v>
      </c>
      <c r="B19">
        <f t="shared" si="0"/>
        <v>6.516006230386048</v>
      </c>
      <c r="E19" s="2">
        <v>9459180</v>
      </c>
      <c r="F19">
        <f t="shared" si="1"/>
        <v>6.9758534897939182</v>
      </c>
      <c r="H19">
        <v>841760.00000000047</v>
      </c>
      <c r="I19">
        <f t="shared" si="2"/>
        <v>5.9251882844530845</v>
      </c>
    </row>
    <row r="20" spans="1:9" x14ac:dyDescent="0.4">
      <c r="A20" s="2">
        <f>32.97*(100000)</f>
        <v>3297000</v>
      </c>
      <c r="B20">
        <f t="shared" si="0"/>
        <v>6.5181189471431527</v>
      </c>
      <c r="E20" s="2">
        <v>11883800</v>
      </c>
      <c r="F20">
        <f t="shared" si="1"/>
        <v>7.0749553341761162</v>
      </c>
      <c r="H20">
        <v>668550</v>
      </c>
      <c r="I20">
        <f t="shared" si="2"/>
        <v>5.8251338931418575</v>
      </c>
    </row>
    <row r="21" spans="1:9" x14ac:dyDescent="0.4">
      <c r="A21" s="2">
        <f>32.32*(100000)</f>
        <v>3232000</v>
      </c>
      <c r="B21">
        <f t="shared" si="0"/>
        <v>6.5094713521025485</v>
      </c>
      <c r="E21" s="2">
        <v>5316150</v>
      </c>
      <c r="F21">
        <f t="shared" si="1"/>
        <v>6.7255972264567792</v>
      </c>
      <c r="H21">
        <v>2118280</v>
      </c>
      <c r="I21">
        <f t="shared" si="2"/>
        <v>6.3259833657892699</v>
      </c>
    </row>
    <row r="22" spans="1:9" x14ac:dyDescent="0.4">
      <c r="A22" s="2">
        <f>31.77*(100000)</f>
        <v>3177000</v>
      </c>
      <c r="B22">
        <f t="shared" si="0"/>
        <v>6.5020172148271476</v>
      </c>
      <c r="E22" s="2">
        <v>8152930</v>
      </c>
      <c r="F22">
        <f t="shared" si="1"/>
        <v>6.9113137135439198</v>
      </c>
      <c r="H22">
        <v>2652510</v>
      </c>
      <c r="I22">
        <f t="shared" si="2"/>
        <v>6.4236570298727687</v>
      </c>
    </row>
    <row r="23" spans="1:9" x14ac:dyDescent="0.4">
      <c r="A23" s="2">
        <f>32.31*(100000)</f>
        <v>3231000</v>
      </c>
      <c r="B23">
        <f t="shared" si="0"/>
        <v>6.5093369580176441</v>
      </c>
      <c r="E23" s="2">
        <v>2401520</v>
      </c>
      <c r="F23">
        <f t="shared" si="1"/>
        <v>6.3804862078200655</v>
      </c>
      <c r="H23">
        <v>2982646</v>
      </c>
      <c r="I23">
        <f t="shared" si="2"/>
        <v>6.4746017115016254</v>
      </c>
    </row>
    <row r="24" spans="1:9" x14ac:dyDescent="0.4">
      <c r="A24" s="2">
        <f>37.23*(100000)</f>
        <v>3722999.9999999995</v>
      </c>
      <c r="B24">
        <f t="shared" si="0"/>
        <v>6.5708930362183926</v>
      </c>
      <c r="E24" s="2">
        <v>4981870</v>
      </c>
      <c r="F24">
        <f t="shared" si="1"/>
        <v>6.6973923905992692</v>
      </c>
      <c r="H24">
        <v>12029200</v>
      </c>
      <c r="I24">
        <f t="shared" si="2"/>
        <v>7.0802367456159594</v>
      </c>
    </row>
    <row r="25" spans="1:9" x14ac:dyDescent="0.4">
      <c r="A25" s="2">
        <f>33.28*(100000)</f>
        <v>3328000</v>
      </c>
      <c r="B25">
        <f t="shared" si="0"/>
        <v>6.5221833176186861</v>
      </c>
      <c r="E25" s="2">
        <v>5231050</v>
      </c>
      <c r="F25">
        <f t="shared" si="1"/>
        <v>6.7185888711687696</v>
      </c>
      <c r="H25">
        <v>6752700</v>
      </c>
      <c r="I25">
        <f t="shared" si="2"/>
        <v>6.8294774558894895</v>
      </c>
    </row>
    <row r="26" spans="1:9" x14ac:dyDescent="0.4">
      <c r="A26" s="2">
        <f>31.45*(100000)</f>
        <v>3145000</v>
      </c>
      <c r="B26">
        <f t="shared" si="0"/>
        <v>6.4976206497812878</v>
      </c>
      <c r="E26" s="2">
        <v>9482370</v>
      </c>
      <c r="F26">
        <f t="shared" si="1"/>
        <v>6.9769168973891009</v>
      </c>
      <c r="H26">
        <v>3506850</v>
      </c>
      <c r="I26">
        <f t="shared" si="2"/>
        <v>6.5449171900145267</v>
      </c>
    </row>
    <row r="27" spans="1:9" x14ac:dyDescent="0.4">
      <c r="A27" s="2">
        <f>30.91*(100000)</f>
        <v>3091000</v>
      </c>
      <c r="B27">
        <f t="shared" si="0"/>
        <v>6.4900990050633052</v>
      </c>
      <c r="E27" s="2">
        <v>3698500</v>
      </c>
      <c r="F27">
        <f t="shared" si="1"/>
        <v>6.5680256230379266</v>
      </c>
      <c r="H27">
        <v>554870</v>
      </c>
      <c r="I27">
        <f t="shared" si="2"/>
        <v>5.7441912445714847</v>
      </c>
    </row>
    <row r="28" spans="1:9" x14ac:dyDescent="0.4">
      <c r="A28" s="2">
        <f>31.66*(100000)</f>
        <v>3166000</v>
      </c>
      <c r="B28">
        <f t="shared" si="0"/>
        <v>6.5005109105263372</v>
      </c>
      <c r="E28" s="2">
        <v>2568240</v>
      </c>
      <c r="F28">
        <f t="shared" si="1"/>
        <v>6.4096356057696227</v>
      </c>
      <c r="H28">
        <v>2014450</v>
      </c>
      <c r="I28">
        <f t="shared" si="2"/>
        <v>6.304156492377869</v>
      </c>
    </row>
    <row r="29" spans="1:9" x14ac:dyDescent="0.4">
      <c r="A29" s="2">
        <f>31.94*(100000)</f>
        <v>3194000</v>
      </c>
      <c r="B29">
        <f t="shared" si="0"/>
        <v>6.5043349118024638</v>
      </c>
      <c r="E29" s="2">
        <v>6302420</v>
      </c>
      <c r="F29">
        <f t="shared" si="1"/>
        <v>6.7995073416504965</v>
      </c>
      <c r="H29">
        <v>2653804</v>
      </c>
      <c r="I29">
        <f t="shared" si="2"/>
        <v>6.4238688443529224</v>
      </c>
    </row>
    <row r="30" spans="1:9" x14ac:dyDescent="0.4">
      <c r="A30" s="2">
        <f>31.43*(100000)</f>
        <v>3143000</v>
      </c>
      <c r="B30">
        <f t="shared" si="0"/>
        <v>6.4973443810175802</v>
      </c>
      <c r="E30" s="2">
        <v>1383410</v>
      </c>
      <c r="F30">
        <f t="shared" si="1"/>
        <v>6.140950910658205</v>
      </c>
      <c r="H30">
        <v>2885677</v>
      </c>
      <c r="I30">
        <f t="shared" si="2"/>
        <v>6.4602477179674125</v>
      </c>
    </row>
    <row r="31" spans="1:9" x14ac:dyDescent="0.4">
      <c r="A31" s="2">
        <f>32.36*(100000)</f>
        <v>3236000</v>
      </c>
      <c r="B31">
        <f t="shared" si="0"/>
        <v>6.5100085129402343</v>
      </c>
      <c r="E31" s="2">
        <v>1119560</v>
      </c>
      <c r="F31">
        <f t="shared" si="1"/>
        <v>6.0490473734582864</v>
      </c>
      <c r="H31">
        <v>3111066</v>
      </c>
      <c r="I31">
        <f t="shared" si="2"/>
        <v>6.4929092245872511</v>
      </c>
    </row>
    <row r="32" spans="1:9" x14ac:dyDescent="0.4">
      <c r="A32" s="2">
        <f>32.02*(100000)</f>
        <v>3202000.0000000005</v>
      </c>
      <c r="B32">
        <f t="shared" si="0"/>
        <v>6.5054213275832806</v>
      </c>
      <c r="E32" s="2">
        <v>1227650</v>
      </c>
      <c r="F32">
        <f t="shared" si="1"/>
        <v>6.0890745681614531</v>
      </c>
      <c r="H32">
        <v>1652910.0000000005</v>
      </c>
      <c r="I32">
        <f t="shared" si="2"/>
        <v>6.2182492071301461</v>
      </c>
    </row>
    <row r="33" spans="1:9" x14ac:dyDescent="0.4">
      <c r="A33" s="2">
        <f>32.26*(100000)</f>
        <v>3226000</v>
      </c>
      <c r="B33">
        <f t="shared" si="0"/>
        <v>6.5086643630529428</v>
      </c>
      <c r="E33" s="2">
        <v>1016489.9999999999</v>
      </c>
      <c r="F33">
        <f t="shared" si="1"/>
        <v>6.0071031105036381</v>
      </c>
      <c r="H33">
        <v>2753158</v>
      </c>
      <c r="I33">
        <f t="shared" si="2"/>
        <v>6.4398311356792517</v>
      </c>
    </row>
    <row r="34" spans="1:9" x14ac:dyDescent="0.4">
      <c r="A34" s="2">
        <f>32.92*(100000)</f>
        <v>3292000</v>
      </c>
      <c r="B34">
        <f t="shared" si="0"/>
        <v>6.5174598265402324</v>
      </c>
      <c r="E34" s="2">
        <v>766502</v>
      </c>
      <c r="F34">
        <f t="shared" si="1"/>
        <v>5.8845132923773873</v>
      </c>
      <c r="H34">
        <v>3087739</v>
      </c>
      <c r="I34">
        <f t="shared" si="2"/>
        <v>6.4896405832277217</v>
      </c>
    </row>
    <row r="35" spans="1:9" x14ac:dyDescent="0.4">
      <c r="A35" s="2">
        <f>33.29*(100000)</f>
        <v>3329000</v>
      </c>
      <c r="B35">
        <f t="shared" si="0"/>
        <v>6.5223137951566672</v>
      </c>
      <c r="E35" s="2">
        <v>613020</v>
      </c>
      <c r="F35">
        <f t="shared" si="1"/>
        <v>5.7874746437646571</v>
      </c>
      <c r="H35">
        <v>3237141.4</v>
      </c>
      <c r="I35">
        <f t="shared" si="2"/>
        <v>6.5101616700230638</v>
      </c>
    </row>
    <row r="36" spans="1:9" x14ac:dyDescent="0.4">
      <c r="A36" s="2">
        <f>33.1*(100000)</f>
        <v>3310000</v>
      </c>
      <c r="B36">
        <f t="shared" si="0"/>
        <v>6.5198279937757189</v>
      </c>
      <c r="E36" s="2">
        <v>4967890</v>
      </c>
      <c r="F36">
        <f t="shared" si="1"/>
        <v>6.6961719710409273</v>
      </c>
      <c r="H36">
        <v>3267458.1</v>
      </c>
      <c r="I36">
        <f t="shared" si="2"/>
        <v>6.5142100271460892</v>
      </c>
    </row>
    <row r="37" spans="1:9" x14ac:dyDescent="0.4">
      <c r="A37" s="2">
        <f>32.73*(100000)</f>
        <v>3272999.9999999995</v>
      </c>
      <c r="B37">
        <f t="shared" si="0"/>
        <v>6.5149460053080039</v>
      </c>
      <c r="E37" s="2">
        <v>413178</v>
      </c>
      <c r="F37">
        <f t="shared" si="1"/>
        <v>5.6161371890988772</v>
      </c>
      <c r="H37">
        <v>3252895.0999999996</v>
      </c>
      <c r="I37">
        <f t="shared" si="2"/>
        <v>6.5122700582939297</v>
      </c>
    </row>
    <row r="38" spans="1:9" x14ac:dyDescent="0.4">
      <c r="A38" s="2">
        <f>32.65*(100000)</f>
        <v>3265000</v>
      </c>
      <c r="B38">
        <f t="shared" si="0"/>
        <v>6.5138831856110926</v>
      </c>
      <c r="E38" s="2">
        <v>339857</v>
      </c>
      <c r="F38">
        <f t="shared" si="1"/>
        <v>5.5312962194695947</v>
      </c>
      <c r="H38">
        <v>3255370.79</v>
      </c>
      <c r="I38">
        <f t="shared" si="2"/>
        <v>6.5126004622989084</v>
      </c>
    </row>
    <row r="39" spans="1:9" x14ac:dyDescent="0.4">
      <c r="A39" s="2">
        <f>40.43*(100000)</f>
        <v>4043000</v>
      </c>
      <c r="B39">
        <f t="shared" si="0"/>
        <v>6.606703741333674</v>
      </c>
      <c r="E39" s="2">
        <v>1515230</v>
      </c>
      <c r="F39">
        <f t="shared" si="1"/>
        <v>6.1804785603296555</v>
      </c>
      <c r="H39">
        <v>1916820</v>
      </c>
      <c r="I39">
        <f t="shared" si="2"/>
        <v>6.2825813321388519</v>
      </c>
    </row>
    <row r="40" spans="1:9" x14ac:dyDescent="0.4">
      <c r="A40" s="2">
        <f>39.76*(100000)</f>
        <v>3976000</v>
      </c>
      <c r="B40">
        <f t="shared" si="0"/>
        <v>6.5994463757252753</v>
      </c>
      <c r="E40" s="2">
        <v>3423500</v>
      </c>
      <c r="F40">
        <f t="shared" si="1"/>
        <v>6.5344703322033375</v>
      </c>
      <c r="H40">
        <v>8246400</v>
      </c>
      <c r="I40">
        <f t="shared" si="2"/>
        <v>6.9162643968708108</v>
      </c>
    </row>
    <row r="41" spans="1:9" x14ac:dyDescent="0.4">
      <c r="A41" s="2">
        <f>36.91*(100000)</f>
        <v>3690999.9999999995</v>
      </c>
      <c r="B41">
        <f t="shared" si="0"/>
        <v>6.5671440451956569</v>
      </c>
      <c r="E41" s="2">
        <v>2603520</v>
      </c>
      <c r="F41">
        <f t="shared" si="1"/>
        <v>6.4155609182345943</v>
      </c>
      <c r="H41">
        <v>226580.00000000047</v>
      </c>
      <c r="I41">
        <f t="shared" si="2"/>
        <v>5.3552215724604135</v>
      </c>
    </row>
    <row r="42" spans="1:9" x14ac:dyDescent="0.4">
      <c r="A42" s="2">
        <f>40.58*(100000)</f>
        <v>4058000</v>
      </c>
      <c r="B42">
        <f t="shared" si="0"/>
        <v>6.6083120426973272</v>
      </c>
      <c r="E42" s="2">
        <v>1872430</v>
      </c>
      <c r="F42">
        <f t="shared" si="1"/>
        <v>6.2724055907602985</v>
      </c>
      <c r="H42">
        <v>2340770</v>
      </c>
      <c r="I42">
        <f t="shared" si="2"/>
        <v>6.3693587427704923</v>
      </c>
    </row>
    <row r="43" spans="1:9" x14ac:dyDescent="0.4">
      <c r="A43" s="2">
        <f>35.66*(100000)</f>
        <v>3565999.9999999995</v>
      </c>
      <c r="B43">
        <f t="shared" si="0"/>
        <v>6.5521813388393362</v>
      </c>
      <c r="E43" s="2">
        <v>3783460</v>
      </c>
      <c r="F43">
        <f t="shared" si="1"/>
        <v>6.5778891468218612</v>
      </c>
      <c r="H43">
        <v>9876300</v>
      </c>
      <c r="I43">
        <f t="shared" si="2"/>
        <v>6.9945942734799988</v>
      </c>
    </row>
    <row r="44" spans="1:9" x14ac:dyDescent="0.4">
      <c r="A44" s="2">
        <f>34.79*(100000)</f>
        <v>3479000</v>
      </c>
      <c r="B44">
        <f t="shared" si="0"/>
        <v>6.5414544287475893</v>
      </c>
      <c r="E44" s="2">
        <v>7570270</v>
      </c>
      <c r="F44">
        <f t="shared" si="1"/>
        <v>6.8791113692515928</v>
      </c>
      <c r="H44">
        <v>712729.99999999953</v>
      </c>
      <c r="I44">
        <f t="shared" si="2"/>
        <v>5.8529250393641634</v>
      </c>
    </row>
    <row r="45" spans="1:9" x14ac:dyDescent="0.4">
      <c r="A45" s="2">
        <f>56.81*(100000)</f>
        <v>5681000</v>
      </c>
      <c r="B45">
        <f t="shared" si="0"/>
        <v>6.7544247892772589</v>
      </c>
      <c r="E45" s="2">
        <v>6069230</v>
      </c>
      <c r="F45">
        <f t="shared" si="1"/>
        <v>6.7831335958589198</v>
      </c>
      <c r="H45">
        <v>14017100</v>
      </c>
      <c r="I45">
        <f t="shared" si="2"/>
        <v>7.1466581716710929</v>
      </c>
    </row>
    <row r="46" spans="1:9" x14ac:dyDescent="0.4">
      <c r="A46" s="2">
        <f>47.26*(100000)</f>
        <v>4726000</v>
      </c>
      <c r="B46">
        <f t="shared" si="0"/>
        <v>6.6744937172963503</v>
      </c>
      <c r="E46" s="2">
        <v>5587690</v>
      </c>
      <c r="F46">
        <f t="shared" si="1"/>
        <v>6.7472323038444468</v>
      </c>
      <c r="H46">
        <v>6408500</v>
      </c>
      <c r="I46">
        <f t="shared" si="2"/>
        <v>6.806756388651972</v>
      </c>
    </row>
    <row r="47" spans="1:9" x14ac:dyDescent="0.4">
      <c r="A47" s="2">
        <f>44.59*(100000)</f>
        <v>4459000</v>
      </c>
      <c r="B47">
        <f t="shared" si="0"/>
        <v>6.6492374723496068</v>
      </c>
      <c r="E47" s="2">
        <v>8969380</v>
      </c>
      <c r="F47">
        <f t="shared" si="1"/>
        <v>6.9527624238819037</v>
      </c>
      <c r="H47">
        <v>280090</v>
      </c>
      <c r="I47">
        <f t="shared" si="2"/>
        <v>5.4472976035670682</v>
      </c>
    </row>
    <row r="48" spans="1:9" x14ac:dyDescent="0.4">
      <c r="A48" s="2">
        <f>39.79*(100000)</f>
        <v>3979000</v>
      </c>
      <c r="B48">
        <f t="shared" si="0"/>
        <v>6.5997739391463881</v>
      </c>
      <c r="E48" s="2">
        <v>3298550</v>
      </c>
      <c r="F48">
        <f t="shared" si="1"/>
        <v>6.5183230715783687</v>
      </c>
      <c r="H48">
        <v>2109700</v>
      </c>
      <c r="I48">
        <f t="shared" si="2"/>
        <v>6.3242207028770041</v>
      </c>
    </row>
    <row r="49" spans="1:9" x14ac:dyDescent="0.4">
      <c r="A49" s="2">
        <f>36.46*(100000)</f>
        <v>3646000</v>
      </c>
      <c r="B49">
        <f t="shared" si="0"/>
        <v>6.5618166643189575</v>
      </c>
      <c r="E49" s="2">
        <v>2154140</v>
      </c>
      <c r="F49">
        <f t="shared" si="1"/>
        <v>6.3332739251697872</v>
      </c>
      <c r="H49">
        <v>2790760</v>
      </c>
      <c r="I49">
        <f t="shared" si="2"/>
        <v>6.4457224896031606</v>
      </c>
    </row>
    <row r="50" spans="1:9" x14ac:dyDescent="0.4">
      <c r="A50" s="2">
        <f>38.05*(100000)</f>
        <v>3804999.9999999995</v>
      </c>
      <c r="B50">
        <f t="shared" si="0"/>
        <v>6.5803546611065915</v>
      </c>
      <c r="E50" s="2">
        <v>1554520</v>
      </c>
      <c r="F50">
        <f t="shared" si="1"/>
        <v>6.1915963139210328</v>
      </c>
      <c r="H50">
        <v>3397555.9999999995</v>
      </c>
      <c r="I50">
        <f t="shared" si="2"/>
        <v>6.531166623694614</v>
      </c>
    </row>
    <row r="51" spans="1:9" x14ac:dyDescent="0.4">
      <c r="A51" s="2">
        <f>64.24*(100000)</f>
        <v>6423999.9999999991</v>
      </c>
      <c r="B51">
        <f t="shared" si="0"/>
        <v>6.8078055322706241</v>
      </c>
      <c r="E51" s="2">
        <v>3071090</v>
      </c>
      <c r="F51">
        <f t="shared" si="1"/>
        <v>6.4872925438708249</v>
      </c>
      <c r="H51">
        <v>2706560.0000000009</v>
      </c>
      <c r="I51">
        <f t="shared" si="2"/>
        <v>6.4324176591307873</v>
      </c>
    </row>
    <row r="52" spans="1:9" x14ac:dyDescent="0.4">
      <c r="A52" s="2">
        <f>64.39*(100000)</f>
        <v>6439000</v>
      </c>
      <c r="B52">
        <f t="shared" si="0"/>
        <v>6.8088184250921246</v>
      </c>
      <c r="E52" s="2">
        <v>13128600</v>
      </c>
      <c r="F52">
        <f t="shared" si="1"/>
        <v>7.1182184165165969</v>
      </c>
      <c r="H52">
        <v>25387200</v>
      </c>
      <c r="I52">
        <f t="shared" si="2"/>
        <v>7.4046148043945719</v>
      </c>
    </row>
    <row r="53" spans="1:9" x14ac:dyDescent="0.4">
      <c r="A53" s="2">
        <f>51.71*(100000)</f>
        <v>5171000</v>
      </c>
      <c r="B53">
        <f t="shared" si="0"/>
        <v>6.7135745377720699</v>
      </c>
      <c r="E53" s="2">
        <v>7108560</v>
      </c>
      <c r="F53">
        <f t="shared" si="1"/>
        <v>6.8517816334453041</v>
      </c>
      <c r="H53">
        <v>11320499.999999998</v>
      </c>
      <c r="I53">
        <f t="shared" si="2"/>
        <v>7.0538656090470795</v>
      </c>
    </row>
    <row r="54" spans="1:9" x14ac:dyDescent="0.4">
      <c r="A54" s="2">
        <f>46.79*(100000)</f>
        <v>4679000</v>
      </c>
      <c r="B54">
        <f t="shared" si="0"/>
        <v>6.6701530451921807</v>
      </c>
      <c r="E54" s="2">
        <v>10615600</v>
      </c>
      <c r="F54">
        <f t="shared" si="1"/>
        <v>7.0259445457771026</v>
      </c>
      <c r="H54">
        <v>101980</v>
      </c>
      <c r="I54">
        <f t="shared" si="2"/>
        <v>5.0085150076314546</v>
      </c>
    </row>
    <row r="55" spans="1:9" x14ac:dyDescent="0.4">
      <c r="A55" s="2">
        <f>46.14*(100000)</f>
        <v>4614000</v>
      </c>
      <c r="B55">
        <f t="shared" si="0"/>
        <v>6.6640775901850748</v>
      </c>
      <c r="E55" s="2">
        <v>4555220</v>
      </c>
      <c r="F55">
        <f t="shared" si="1"/>
        <v>6.6585093566062188</v>
      </c>
      <c r="H55">
        <v>2493700</v>
      </c>
      <c r="I55">
        <f t="shared" si="2"/>
        <v>6.3968442052847427</v>
      </c>
    </row>
    <row r="56" spans="1:9" x14ac:dyDescent="0.4">
      <c r="A56" s="2">
        <f>43.17*(100000)</f>
        <v>4317000</v>
      </c>
      <c r="B56">
        <f t="shared" si="0"/>
        <v>6.6351820486562678</v>
      </c>
      <c r="E56" s="2">
        <v>3135340</v>
      </c>
      <c r="F56">
        <f t="shared" si="1"/>
        <v>6.4962846431307986</v>
      </c>
      <c r="H56">
        <v>3338027</v>
      </c>
      <c r="I56">
        <f t="shared" si="2"/>
        <v>6.5234898451963099</v>
      </c>
    </row>
    <row r="57" spans="1:9" x14ac:dyDescent="0.4">
      <c r="A57" s="2">
        <f>40.66*(100000)</f>
        <v>4065999.9999999995</v>
      </c>
      <c r="B57">
        <f t="shared" si="0"/>
        <v>6.6091673743020198</v>
      </c>
      <c r="E57" s="2">
        <v>7929480</v>
      </c>
      <c r="F57">
        <f t="shared" si="1"/>
        <v>6.8992447080571653</v>
      </c>
      <c r="H57">
        <v>3096640.0000000005</v>
      </c>
      <c r="I57">
        <f t="shared" si="2"/>
        <v>6.4908907193699807</v>
      </c>
    </row>
    <row r="58" spans="1:9" x14ac:dyDescent="0.4">
      <c r="A58" s="2">
        <f>36.86*(100000)</f>
        <v>3686000</v>
      </c>
      <c r="B58">
        <f t="shared" si="0"/>
        <v>6.5665553308830553</v>
      </c>
      <c r="E58" s="2">
        <v>2844240</v>
      </c>
      <c r="F58">
        <f t="shared" si="1"/>
        <v>6.4539662398347977</v>
      </c>
      <c r="H58">
        <v>699690</v>
      </c>
      <c r="I58">
        <f t="shared" si="2"/>
        <v>5.8449056670008162</v>
      </c>
    </row>
    <row r="59" spans="1:9" x14ac:dyDescent="0.4">
      <c r="A59" s="2">
        <f>35.4*(100000)</f>
        <v>3540000</v>
      </c>
      <c r="B59">
        <f t="shared" si="0"/>
        <v>6.5490032620257876</v>
      </c>
      <c r="E59" s="2">
        <v>2040690</v>
      </c>
      <c r="F59">
        <f t="shared" si="1"/>
        <v>6.3097770363109991</v>
      </c>
      <c r="H59">
        <v>2336740</v>
      </c>
      <c r="I59">
        <f t="shared" si="2"/>
        <v>6.3686103928171498</v>
      </c>
    </row>
    <row r="60" spans="1:9" x14ac:dyDescent="0.4">
      <c r="A60" s="2">
        <f>33.96*(100000)</f>
        <v>3396000</v>
      </c>
      <c r="B60">
        <f t="shared" si="0"/>
        <v>6.5309676815719149</v>
      </c>
      <c r="E60" s="2">
        <v>1494810</v>
      </c>
      <c r="F60">
        <f t="shared" si="1"/>
        <v>6.1745859945363719</v>
      </c>
      <c r="H60">
        <v>2857612</v>
      </c>
      <c r="I60">
        <f t="shared" si="2"/>
        <v>6.4560032609496476</v>
      </c>
    </row>
    <row r="61" spans="1:9" x14ac:dyDescent="0.4">
      <c r="A61" s="2">
        <f>36.32*(100000)</f>
        <v>3632000</v>
      </c>
      <c r="B61">
        <f t="shared" si="0"/>
        <v>6.5601458398490475</v>
      </c>
      <c r="E61" s="2">
        <v>5642650</v>
      </c>
      <c r="F61">
        <f t="shared" si="1"/>
        <v>6.7514831128639168</v>
      </c>
      <c r="H61">
        <v>3383554</v>
      </c>
      <c r="I61">
        <f t="shared" si="2"/>
        <v>6.5293731120193934</v>
      </c>
    </row>
    <row r="62" spans="1:9" x14ac:dyDescent="0.4">
      <c r="A62" s="2">
        <f>38.54*(100000)</f>
        <v>3854000</v>
      </c>
      <c r="B62">
        <f t="shared" si="0"/>
        <v>6.5859117103194338</v>
      </c>
      <c r="E62" s="2">
        <v>5585150</v>
      </c>
      <c r="F62">
        <f t="shared" si="1"/>
        <v>6.7470348414261112</v>
      </c>
      <c r="H62">
        <v>18594700</v>
      </c>
      <c r="I62">
        <f t="shared" si="2"/>
        <v>7.2693891760052587</v>
      </c>
    </row>
    <row r="63" spans="1:9" x14ac:dyDescent="0.4">
      <c r="A63" s="2">
        <f>33.16*(100000)</f>
        <v>3315999.9999999995</v>
      </c>
      <c r="B63">
        <f t="shared" si="0"/>
        <v>6.5206145218782359</v>
      </c>
      <c r="E63" s="2">
        <v>4778450</v>
      </c>
      <c r="F63">
        <f t="shared" si="1"/>
        <v>6.6792870460656699</v>
      </c>
      <c r="H63">
        <v>4537950</v>
      </c>
      <c r="I63">
        <f t="shared" si="2"/>
        <v>6.6568597064357125</v>
      </c>
    </row>
    <row r="64" spans="1:9" x14ac:dyDescent="0.4">
      <c r="A64" s="2">
        <f>32.36*(100000)</f>
        <v>3236000</v>
      </c>
      <c r="B64">
        <f t="shared" si="0"/>
        <v>6.5100085129402343</v>
      </c>
      <c r="E64" s="2">
        <v>4043830</v>
      </c>
      <c r="F64">
        <f t="shared" si="1"/>
        <v>6.6067928898433488</v>
      </c>
      <c r="H64">
        <v>78250</v>
      </c>
      <c r="I64">
        <f t="shared" si="2"/>
        <v>4.8934843462184858</v>
      </c>
    </row>
    <row r="65" spans="1:9" x14ac:dyDescent="0.4">
      <c r="A65" s="2">
        <f>31.5*(100000)</f>
        <v>3150000</v>
      </c>
      <c r="B65">
        <f t="shared" si="0"/>
        <v>6.4983105537896009</v>
      </c>
      <c r="E65" s="2">
        <v>7364370</v>
      </c>
      <c r="F65">
        <f t="shared" si="1"/>
        <v>6.8671356001635324</v>
      </c>
      <c r="H65">
        <v>1751650</v>
      </c>
      <c r="I65">
        <f t="shared" si="2"/>
        <v>6.2434473334224485</v>
      </c>
    </row>
    <row r="66" spans="1:9" x14ac:dyDescent="0.4">
      <c r="A66" s="2">
        <f>31.53*(100000)</f>
        <v>3153000</v>
      </c>
      <c r="B66">
        <f t="shared" si="0"/>
        <v>6.4987239707479043</v>
      </c>
      <c r="E66" s="2">
        <v>1784610</v>
      </c>
      <c r="F66">
        <f t="shared" si="1"/>
        <v>6.2515433222108046</v>
      </c>
      <c r="H66">
        <v>2516921</v>
      </c>
      <c r="I66">
        <f t="shared" si="2"/>
        <v>6.4008695843197145</v>
      </c>
    </row>
    <row r="67" spans="1:9" x14ac:dyDescent="0.4">
      <c r="A67" s="2">
        <f>32.02*(100000)</f>
        <v>3202000.0000000005</v>
      </c>
      <c r="B67">
        <f t="shared" ref="B67:B130" si="3">LOG(A67)</f>
        <v>6.5054213275832806</v>
      </c>
      <c r="E67" s="2">
        <v>1288890</v>
      </c>
      <c r="F67">
        <f t="shared" ref="F67:F130" si="4">LOG(E67)</f>
        <v>6.1102158541792271</v>
      </c>
      <c r="H67">
        <v>2905054.0000000005</v>
      </c>
      <c r="I67">
        <f t="shared" ref="I67:I130" si="5">LOG(H67)</f>
        <v>6.4631542095952161</v>
      </c>
    </row>
    <row r="68" spans="1:9" x14ac:dyDescent="0.4">
      <c r="A68" s="2">
        <f>32.65*(100000)</f>
        <v>3265000</v>
      </c>
      <c r="B68">
        <f t="shared" si="3"/>
        <v>6.5138831856110926</v>
      </c>
      <c r="E68" s="2">
        <v>1010240</v>
      </c>
      <c r="F68">
        <f t="shared" si="4"/>
        <v>6.0044245602121231</v>
      </c>
      <c r="H68">
        <v>3123917</v>
      </c>
      <c r="I68">
        <f t="shared" si="5"/>
        <v>6.4946994864982024</v>
      </c>
    </row>
    <row r="69" spans="1:9" x14ac:dyDescent="0.4">
      <c r="A69" s="2">
        <f>32.65*(100000)</f>
        <v>3265000</v>
      </c>
      <c r="B69">
        <f t="shared" si="3"/>
        <v>6.5138831856110926</v>
      </c>
      <c r="E69" s="2">
        <v>819131</v>
      </c>
      <c r="F69">
        <f t="shared" si="4"/>
        <v>5.9133533621115753</v>
      </c>
      <c r="H69">
        <v>3197195.1</v>
      </c>
      <c r="I69">
        <f t="shared" si="5"/>
        <v>6.5047691387015076</v>
      </c>
    </row>
    <row r="70" spans="1:9" x14ac:dyDescent="0.4">
      <c r="A70" s="2">
        <f>31.68*(100000)</f>
        <v>3168000</v>
      </c>
      <c r="B70">
        <f t="shared" si="3"/>
        <v>6.5007851729174559</v>
      </c>
      <c r="E70" s="2">
        <v>2833050</v>
      </c>
      <c r="F70">
        <f t="shared" si="4"/>
        <v>6.452254239374823</v>
      </c>
      <c r="H70">
        <v>7286200</v>
      </c>
      <c r="I70">
        <f t="shared" si="5"/>
        <v>6.862501088084084</v>
      </c>
    </row>
    <row r="71" spans="1:9" x14ac:dyDescent="0.4">
      <c r="A71" s="2">
        <f>32.65*(100000)</f>
        <v>3265000</v>
      </c>
      <c r="B71">
        <f t="shared" si="3"/>
        <v>6.5138831856110926</v>
      </c>
      <c r="E71" s="2">
        <v>6872520</v>
      </c>
      <c r="F71">
        <f t="shared" si="4"/>
        <v>6.8371160123753825</v>
      </c>
      <c r="H71">
        <v>121550</v>
      </c>
      <c r="I71">
        <f t="shared" si="5"/>
        <v>5.0847549631793543</v>
      </c>
    </row>
    <row r="72" spans="1:9" x14ac:dyDescent="0.4">
      <c r="A72" s="2">
        <f>34.23*(100000)</f>
        <v>3422999.9999999995</v>
      </c>
      <c r="B72">
        <f t="shared" si="3"/>
        <v>6.5344068991378768</v>
      </c>
      <c r="E72" s="2">
        <v>1780370</v>
      </c>
      <c r="F72">
        <f t="shared" si="4"/>
        <v>6.2505102676233877</v>
      </c>
      <c r="H72">
        <v>2072269.9999999995</v>
      </c>
      <c r="I72">
        <f t="shared" si="5"/>
        <v>6.316446339813929</v>
      </c>
    </row>
    <row r="73" spans="1:9" x14ac:dyDescent="0.4">
      <c r="A73" s="2">
        <f>37.17*(100000)</f>
        <v>3717000</v>
      </c>
      <c r="B73">
        <f t="shared" si="3"/>
        <v>6.5701925610957259</v>
      </c>
      <c r="E73" s="2">
        <v>3746460</v>
      </c>
      <c r="F73">
        <f t="shared" si="4"/>
        <v>6.5736211001072116</v>
      </c>
      <c r="H73">
        <v>9545200</v>
      </c>
      <c r="I73">
        <f t="shared" si="5"/>
        <v>6.9797850325711108</v>
      </c>
    </row>
    <row r="74" spans="1:9" x14ac:dyDescent="0.4">
      <c r="A74" s="2">
        <f>33.05*(100000)</f>
        <v>3304999.9999999995</v>
      </c>
      <c r="B74">
        <f t="shared" si="3"/>
        <v>6.5191714638216594</v>
      </c>
      <c r="E74" s="2">
        <v>3069000</v>
      </c>
      <c r="F74">
        <f t="shared" si="4"/>
        <v>6.4869968884318228</v>
      </c>
      <c r="H74">
        <v>790050</v>
      </c>
      <c r="I74">
        <f t="shared" si="5"/>
        <v>5.8976545774131619</v>
      </c>
    </row>
    <row r="75" spans="1:9" x14ac:dyDescent="0.4">
      <c r="A75" s="2">
        <f>32.6*(100000)</f>
        <v>3260000</v>
      </c>
      <c r="B75">
        <f t="shared" si="3"/>
        <v>6.5132176000679394</v>
      </c>
      <c r="E75" s="2">
        <v>2353680</v>
      </c>
      <c r="F75">
        <f t="shared" si="4"/>
        <v>6.3717474170116377</v>
      </c>
      <c r="H75">
        <v>1485040</v>
      </c>
      <c r="I75">
        <f t="shared" si="5"/>
        <v>6.1717381516635452</v>
      </c>
    </row>
    <row r="76" spans="1:9" x14ac:dyDescent="0.4">
      <c r="A76" s="2">
        <f>33.29*(100000)</f>
        <v>3329000</v>
      </c>
      <c r="B76">
        <f t="shared" si="3"/>
        <v>6.5223137951566672</v>
      </c>
      <c r="E76" s="2">
        <v>5925460</v>
      </c>
      <c r="F76">
        <f t="shared" si="4"/>
        <v>6.7727220707508469</v>
      </c>
      <c r="H76">
        <v>2530567</v>
      </c>
      <c r="I76">
        <f t="shared" si="5"/>
        <v>6.4032178402992557</v>
      </c>
    </row>
    <row r="77" spans="1:9" x14ac:dyDescent="0.4">
      <c r="A77" s="2">
        <f>33.95*(100000)</f>
        <v>3395000.0000000005</v>
      </c>
      <c r="B77">
        <f t="shared" si="3"/>
        <v>6.5308397786165209</v>
      </c>
      <c r="E77" s="2">
        <v>1071800</v>
      </c>
      <c r="F77">
        <f t="shared" si="4"/>
        <v>6.0301137527075932</v>
      </c>
      <c r="H77">
        <v>3022382.0000000005</v>
      </c>
      <c r="I77">
        <f t="shared" si="5"/>
        <v>6.4803493541153605</v>
      </c>
    </row>
    <row r="78" spans="1:9" x14ac:dyDescent="0.4">
      <c r="A78" s="2">
        <f>41.78*(100000)</f>
        <v>4178000</v>
      </c>
      <c r="B78">
        <f t="shared" si="3"/>
        <v>6.6209684356442899</v>
      </c>
      <c r="E78" s="2">
        <v>3929440</v>
      </c>
      <c r="F78">
        <f t="shared" si="4"/>
        <v>6.594330661764972</v>
      </c>
      <c r="H78">
        <v>10889100</v>
      </c>
      <c r="I78">
        <f t="shared" si="5"/>
        <v>7.0369919861666057</v>
      </c>
    </row>
    <row r="79" spans="1:9" x14ac:dyDescent="0.4">
      <c r="A79" s="2">
        <f>31.89*(100000)</f>
        <v>3189000</v>
      </c>
      <c r="B79">
        <f t="shared" si="3"/>
        <v>6.5036545192429589</v>
      </c>
      <c r="E79" s="2">
        <v>4412970</v>
      </c>
      <c r="F79">
        <f t="shared" si="4"/>
        <v>6.6447309750613455</v>
      </c>
      <c r="H79">
        <v>6602430</v>
      </c>
      <c r="I79">
        <f t="shared" si="5"/>
        <v>6.8197038054450516</v>
      </c>
    </row>
    <row r="80" spans="1:9" x14ac:dyDescent="0.4">
      <c r="A80" s="2">
        <f>32.21*(100000)</f>
        <v>3221000</v>
      </c>
      <c r="B80">
        <f t="shared" si="3"/>
        <v>6.5079907248196918</v>
      </c>
      <c r="E80" s="2">
        <v>3597740</v>
      </c>
      <c r="F80">
        <f t="shared" si="4"/>
        <v>6.5560297747279037</v>
      </c>
      <c r="H80">
        <v>332830</v>
      </c>
      <c r="I80">
        <f t="shared" si="5"/>
        <v>5.5222224649962559</v>
      </c>
    </row>
    <row r="81" spans="1:9" x14ac:dyDescent="0.4">
      <c r="A81" s="2">
        <f>52.48*(100000)</f>
        <v>5248000</v>
      </c>
      <c r="B81">
        <f t="shared" si="3"/>
        <v>6.7199938263676042</v>
      </c>
      <c r="E81" s="2">
        <v>7236220</v>
      </c>
      <c r="F81">
        <f t="shared" si="4"/>
        <v>6.8595117620757806</v>
      </c>
      <c r="H81">
        <v>2924210</v>
      </c>
      <c r="I81">
        <f t="shared" si="5"/>
        <v>6.4660085579459885</v>
      </c>
    </row>
    <row r="82" spans="1:9" x14ac:dyDescent="0.4">
      <c r="A82" s="2">
        <f>69.09*(100000)</f>
        <v>6909000</v>
      </c>
      <c r="B82">
        <f t="shared" si="3"/>
        <v>6.8394151926838935</v>
      </c>
      <c r="E82" s="2">
        <v>11917100</v>
      </c>
      <c r="F82">
        <f t="shared" si="4"/>
        <v>7.0761705836569222</v>
      </c>
      <c r="H82">
        <v>43178700</v>
      </c>
      <c r="I82">
        <f t="shared" si="5"/>
        <v>7.6352695627011888</v>
      </c>
    </row>
    <row r="83" spans="1:9" x14ac:dyDescent="0.4">
      <c r="A83" s="2">
        <f>52.37*(100000)</f>
        <v>5237000</v>
      </c>
      <c r="B83">
        <f t="shared" si="3"/>
        <v>6.7190825739014857</v>
      </c>
      <c r="E83" s="2">
        <v>14684100</v>
      </c>
      <c r="F83">
        <f t="shared" si="4"/>
        <v>7.1668473334252694</v>
      </c>
      <c r="H83">
        <v>15729500</v>
      </c>
      <c r="I83">
        <f t="shared" si="5"/>
        <v>7.1967149177477507</v>
      </c>
    </row>
    <row r="84" spans="1:9" x14ac:dyDescent="0.4">
      <c r="A84" s="2">
        <f>46.41*(100000)</f>
        <v>4641000</v>
      </c>
      <c r="B84">
        <f t="shared" si="3"/>
        <v>6.6666115684190297</v>
      </c>
      <c r="E84" s="2">
        <v>16121700</v>
      </c>
      <c r="F84">
        <f t="shared" si="4"/>
        <v>7.2074108353407675</v>
      </c>
      <c r="H84">
        <v>36747500</v>
      </c>
      <c r="I84">
        <f t="shared" si="5"/>
        <v>7.5652277985729688</v>
      </c>
    </row>
    <row r="85" spans="1:9" x14ac:dyDescent="0.4">
      <c r="A85" s="2">
        <f>50.99*(100000)</f>
        <v>5099000</v>
      </c>
      <c r="B85">
        <f t="shared" si="3"/>
        <v>6.7074850119674734</v>
      </c>
      <c r="E85" s="2">
        <v>18603300</v>
      </c>
      <c r="F85">
        <f t="shared" si="4"/>
        <v>7.2695899896302336</v>
      </c>
      <c r="H85">
        <v>14135100</v>
      </c>
      <c r="I85">
        <f t="shared" si="5"/>
        <v>7.150298885290665</v>
      </c>
    </row>
    <row r="86" spans="1:9" x14ac:dyDescent="0.4">
      <c r="A86" s="2">
        <f>73.18*(100000)</f>
        <v>7318000.0000000009</v>
      </c>
      <c r="B86">
        <f t="shared" si="3"/>
        <v>6.8643924051505891</v>
      </c>
      <c r="E86" s="2">
        <v>16778000</v>
      </c>
      <c r="F86">
        <f t="shared" si="4"/>
        <v>7.2247401900605439</v>
      </c>
      <c r="H86">
        <v>2331039.9999999991</v>
      </c>
      <c r="I86">
        <f t="shared" si="5"/>
        <v>6.3675497259573968</v>
      </c>
    </row>
    <row r="87" spans="1:9" x14ac:dyDescent="0.4">
      <c r="A87" s="2">
        <f>63.13*(100000)</f>
        <v>6313000</v>
      </c>
      <c r="B87">
        <f t="shared" si="3"/>
        <v>6.8002357893273535</v>
      </c>
      <c r="E87" s="2">
        <v>13363600</v>
      </c>
      <c r="F87">
        <f t="shared" si="4"/>
        <v>7.1259234678346512</v>
      </c>
      <c r="H87">
        <v>19988900</v>
      </c>
      <c r="I87">
        <f t="shared" si="5"/>
        <v>7.3007888953149873</v>
      </c>
    </row>
    <row r="88" spans="1:9" x14ac:dyDescent="0.4">
      <c r="A88" s="2">
        <f>51.13*(100000)</f>
        <v>5113000</v>
      </c>
      <c r="B88">
        <f t="shared" si="3"/>
        <v>6.7086757927265372</v>
      </c>
      <c r="E88" s="2">
        <v>15322700</v>
      </c>
      <c r="F88">
        <f t="shared" si="4"/>
        <v>7.1853352987028565</v>
      </c>
      <c r="H88">
        <v>2515880</v>
      </c>
      <c r="I88">
        <f t="shared" si="5"/>
        <v>6.4006899227109573</v>
      </c>
    </row>
    <row r="89" spans="1:9" x14ac:dyDescent="0.4">
      <c r="A89" s="2">
        <f>44.81*(100000)</f>
        <v>4481000</v>
      </c>
      <c r="B89">
        <f t="shared" si="3"/>
        <v>6.6513749439130434</v>
      </c>
      <c r="E89" s="2">
        <v>13031400</v>
      </c>
      <c r="F89">
        <f t="shared" si="4"/>
        <v>7.1149910756982528</v>
      </c>
      <c r="H89">
        <v>1210020</v>
      </c>
      <c r="I89">
        <f t="shared" si="5"/>
        <v>6.082792548678313</v>
      </c>
    </row>
    <row r="90" spans="1:9" x14ac:dyDescent="0.4">
      <c r="A90" s="2">
        <f>40.94*(100000)</f>
        <v>4094000</v>
      </c>
      <c r="B90">
        <f t="shared" si="3"/>
        <v>6.6121478383264867</v>
      </c>
      <c r="E90" s="2">
        <v>6375990</v>
      </c>
      <c r="F90">
        <f t="shared" si="4"/>
        <v>6.8045476272481213</v>
      </c>
      <c r="H90">
        <v>2616800</v>
      </c>
      <c r="I90">
        <f t="shared" si="5"/>
        <v>6.4177705311169255</v>
      </c>
    </row>
    <row r="91" spans="1:9" x14ac:dyDescent="0.4">
      <c r="A91" s="2">
        <f>38.04*(100000)</f>
        <v>3804000</v>
      </c>
      <c r="B91">
        <f t="shared" si="3"/>
        <v>6.5802405082653763</v>
      </c>
      <c r="E91" s="2">
        <v>9099200</v>
      </c>
      <c r="F91">
        <f t="shared" si="4"/>
        <v>6.9590032109080919</v>
      </c>
      <c r="H91">
        <v>3110308</v>
      </c>
      <c r="I91">
        <f t="shared" si="5"/>
        <v>6.4928033974118033</v>
      </c>
    </row>
    <row r="92" spans="1:9" x14ac:dyDescent="0.4">
      <c r="A92" s="2">
        <f>35.75*(100000)</f>
        <v>3575000</v>
      </c>
      <c r="B92">
        <f t="shared" si="3"/>
        <v>6.5532760461370998</v>
      </c>
      <c r="E92" s="2">
        <v>3109920</v>
      </c>
      <c r="F92">
        <f t="shared" si="4"/>
        <v>6.492749217320914</v>
      </c>
      <c r="H92">
        <v>3246657</v>
      </c>
      <c r="I92">
        <f t="shared" si="5"/>
        <v>6.5114364090831085</v>
      </c>
    </row>
    <row r="93" spans="1:9" x14ac:dyDescent="0.4">
      <c r="A93" s="2">
        <f>33.64*(100000)</f>
        <v>3364000</v>
      </c>
      <c r="B93">
        <f t="shared" si="3"/>
        <v>6.5268559871258747</v>
      </c>
      <c r="E93" s="2">
        <v>2221090</v>
      </c>
      <c r="F93">
        <f t="shared" si="4"/>
        <v>6.3465661567976657</v>
      </c>
      <c r="H93">
        <v>3206582</v>
      </c>
      <c r="I93">
        <f t="shared" si="5"/>
        <v>6.5060423503478058</v>
      </c>
    </row>
    <row r="94" spans="1:9" x14ac:dyDescent="0.4">
      <c r="A94" s="2">
        <f>32.76*(100000)</f>
        <v>3276000</v>
      </c>
      <c r="B94">
        <f t="shared" si="3"/>
        <v>6.5153438930883807</v>
      </c>
      <c r="E94" s="2">
        <v>6220710</v>
      </c>
      <c r="F94">
        <f t="shared" si="4"/>
        <v>6.7938399556690809</v>
      </c>
      <c r="H94">
        <v>3199905.9</v>
      </c>
      <c r="I94">
        <f t="shared" si="5"/>
        <v>6.5051372071600202</v>
      </c>
    </row>
    <row r="95" spans="1:9" x14ac:dyDescent="0.4">
      <c r="A95" s="2">
        <f>35.11*(100000)</f>
        <v>3511000</v>
      </c>
      <c r="B95">
        <f t="shared" si="3"/>
        <v>6.5454308294653512</v>
      </c>
      <c r="E95" s="2">
        <v>1404640</v>
      </c>
      <c r="F95">
        <f t="shared" si="4"/>
        <v>6.1475650316809549</v>
      </c>
      <c r="H95">
        <v>3474026.2</v>
      </c>
      <c r="I95">
        <f t="shared" si="5"/>
        <v>6.5408330894341997</v>
      </c>
    </row>
    <row r="96" spans="1:9" x14ac:dyDescent="0.4">
      <c r="A96" s="2">
        <f>33.68*(100000)</f>
        <v>3368000</v>
      </c>
      <c r="B96">
        <f t="shared" si="3"/>
        <v>6.5273720828276121</v>
      </c>
      <c r="E96" s="2">
        <v>1155910</v>
      </c>
      <c r="F96">
        <f t="shared" si="4"/>
        <v>6.0629240209141093</v>
      </c>
      <c r="H96">
        <v>3349976.5</v>
      </c>
      <c r="I96">
        <f t="shared" si="5"/>
        <v>6.5250417604827788</v>
      </c>
    </row>
    <row r="97" spans="1:9" x14ac:dyDescent="0.4">
      <c r="A97" s="2">
        <f>33.05*(100000)</f>
        <v>3304999.9999999995</v>
      </c>
      <c r="B97">
        <f t="shared" si="3"/>
        <v>6.5191714638216594</v>
      </c>
      <c r="E97" s="2">
        <v>4502670</v>
      </c>
      <c r="F97">
        <f t="shared" si="4"/>
        <v>6.6534701187526846</v>
      </c>
      <c r="H97">
        <v>13824800</v>
      </c>
      <c r="I97">
        <f t="shared" si="5"/>
        <v>7.1406588571901422</v>
      </c>
    </row>
    <row r="98" spans="1:9" x14ac:dyDescent="0.4">
      <c r="A98" s="2">
        <f>63.59*(100000)</f>
        <v>6359000</v>
      </c>
      <c r="B98">
        <f t="shared" si="3"/>
        <v>6.8033888249836139</v>
      </c>
      <c r="E98" s="2">
        <v>6308170</v>
      </c>
      <c r="F98">
        <f t="shared" si="4"/>
        <v>6.7999033886941334</v>
      </c>
      <c r="H98">
        <v>11050000</v>
      </c>
      <c r="I98">
        <f t="shared" si="5"/>
        <v>7.0433622780211298</v>
      </c>
    </row>
    <row r="99" spans="1:9" x14ac:dyDescent="0.4">
      <c r="A99" s="2">
        <f>53.34*(100000)</f>
        <v>5334000</v>
      </c>
      <c r="B99">
        <f t="shared" si="3"/>
        <v>6.7270530113538571</v>
      </c>
      <c r="E99" s="2">
        <v>16968600</v>
      </c>
      <c r="F99">
        <f t="shared" si="4"/>
        <v>7.2296460121847295</v>
      </c>
      <c r="H99">
        <v>34818700</v>
      </c>
      <c r="I99">
        <f t="shared" si="5"/>
        <v>7.5418125521527646</v>
      </c>
    </row>
    <row r="100" spans="1:9" x14ac:dyDescent="0.4">
      <c r="A100" s="2">
        <f>44.72*(100000)</f>
        <v>4472000</v>
      </c>
      <c r="B100">
        <f t="shared" si="3"/>
        <v>6.6505017948783669</v>
      </c>
      <c r="E100" s="2">
        <v>10354200</v>
      </c>
      <c r="F100">
        <f t="shared" si="4"/>
        <v>7.0151165494866232</v>
      </c>
      <c r="H100">
        <v>11251600</v>
      </c>
      <c r="I100">
        <f t="shared" si="5"/>
        <v>7.0512142843818406</v>
      </c>
    </row>
    <row r="101" spans="1:9" x14ac:dyDescent="0.4">
      <c r="A101" s="2">
        <f>41.05*(100000)</f>
        <v>4104999.9999999995</v>
      </c>
      <c r="B101">
        <f t="shared" si="3"/>
        <v>6.6133131614554594</v>
      </c>
      <c r="E101" s="2">
        <v>13587300</v>
      </c>
      <c r="F101">
        <f t="shared" si="4"/>
        <v>7.1331331644882319</v>
      </c>
      <c r="H101">
        <v>2131070.0000000005</v>
      </c>
      <c r="I101">
        <f t="shared" si="5"/>
        <v>6.3285977153709068</v>
      </c>
    </row>
    <row r="102" spans="1:9" x14ac:dyDescent="0.4">
      <c r="A102" s="2">
        <f>40.09*(100000)</f>
        <v>4009000.0000000005</v>
      </c>
      <c r="B102">
        <f t="shared" si="3"/>
        <v>6.6030360562505219</v>
      </c>
      <c r="E102" s="2">
        <v>11319100</v>
      </c>
      <c r="F102">
        <f t="shared" si="4"/>
        <v>7.0538118967663461</v>
      </c>
      <c r="H102">
        <v>1251070.0000000005</v>
      </c>
      <c r="I102">
        <f t="shared" si="5"/>
        <v>6.0972816100637068</v>
      </c>
    </row>
    <row r="103" spans="1:9" x14ac:dyDescent="0.4">
      <c r="A103" s="2">
        <f>45.37*(100000)</f>
        <v>4537000</v>
      </c>
      <c r="B103">
        <f t="shared" si="3"/>
        <v>6.6567687792660166</v>
      </c>
      <c r="E103" s="2">
        <v>4987070</v>
      </c>
      <c r="F103">
        <f t="shared" si="4"/>
        <v>6.6978454641478553</v>
      </c>
      <c r="H103">
        <v>3275010</v>
      </c>
      <c r="I103">
        <f t="shared" si="5"/>
        <v>6.5152126304157987</v>
      </c>
    </row>
    <row r="104" spans="1:9" x14ac:dyDescent="0.4">
      <c r="A104" s="2">
        <f>40.57*(100000)</f>
        <v>4057000</v>
      </c>
      <c r="B104">
        <f t="shared" si="3"/>
        <v>6.608205007704326</v>
      </c>
      <c r="E104" s="2">
        <v>9586980</v>
      </c>
      <c r="F104">
        <f t="shared" si="4"/>
        <v>6.981681821363285</v>
      </c>
      <c r="H104">
        <v>26307600</v>
      </c>
      <c r="I104">
        <f t="shared" si="5"/>
        <v>7.4200812299063372</v>
      </c>
    </row>
    <row r="105" spans="1:9" x14ac:dyDescent="0.4">
      <c r="A105" s="2">
        <f>42.31*(100000)</f>
        <v>4231000</v>
      </c>
      <c r="B105">
        <f t="shared" si="3"/>
        <v>6.6264430253312945</v>
      </c>
      <c r="E105" s="2">
        <v>12204800</v>
      </c>
      <c r="F105">
        <f t="shared" si="4"/>
        <v>7.0865306670298924</v>
      </c>
      <c r="H105">
        <v>7148300</v>
      </c>
      <c r="I105">
        <f t="shared" si="5"/>
        <v>6.8542027706957445</v>
      </c>
    </row>
    <row r="106" spans="1:9" x14ac:dyDescent="0.4">
      <c r="A106" s="2">
        <f>99.61*(100000)</f>
        <v>9961000</v>
      </c>
      <c r="B106">
        <f t="shared" si="3"/>
        <v>6.998302940098541</v>
      </c>
      <c r="E106" s="2">
        <v>12687500</v>
      </c>
      <c r="F106">
        <f t="shared" si="4"/>
        <v>7.1033760552572884</v>
      </c>
      <c r="H106">
        <v>25030800</v>
      </c>
      <c r="I106">
        <f t="shared" si="5"/>
        <v>7.3984747301529028</v>
      </c>
    </row>
    <row r="107" spans="1:9" x14ac:dyDescent="0.4">
      <c r="A107" s="2">
        <f>96.61*(100000)</f>
        <v>9661000</v>
      </c>
      <c r="B107">
        <f t="shared" si="3"/>
        <v>6.985022082109535</v>
      </c>
      <c r="E107" s="2">
        <v>21048500</v>
      </c>
      <c r="F107">
        <f t="shared" si="4"/>
        <v>7.3232211517187435</v>
      </c>
      <c r="H107">
        <v>32831900</v>
      </c>
      <c r="I107">
        <f t="shared" si="5"/>
        <v>7.5162960163156614</v>
      </c>
    </row>
    <row r="108" spans="1:9" x14ac:dyDescent="0.4">
      <c r="A108" s="2">
        <f>75.12*(100000)</f>
        <v>7512000</v>
      </c>
      <c r="B108">
        <f t="shared" si="3"/>
        <v>6.8757555792580547</v>
      </c>
      <c r="E108" s="2">
        <v>18752300</v>
      </c>
      <c r="F108">
        <f t="shared" si="4"/>
        <v>7.2730545422530133</v>
      </c>
      <c r="H108">
        <v>10092500</v>
      </c>
      <c r="I108">
        <f t="shared" si="5"/>
        <v>7.0039987580823517</v>
      </c>
    </row>
    <row r="109" spans="1:9" x14ac:dyDescent="0.4">
      <c r="A109" s="2">
        <f>64.09*(100000)</f>
        <v>6409000</v>
      </c>
      <c r="B109">
        <f t="shared" si="3"/>
        <v>6.8067902715840667</v>
      </c>
      <c r="E109" s="2">
        <v>16449600</v>
      </c>
      <c r="F109">
        <f t="shared" si="4"/>
        <v>7.2161553418054538</v>
      </c>
      <c r="H109">
        <v>552510</v>
      </c>
      <c r="I109">
        <f t="shared" si="5"/>
        <v>5.7423401428196224</v>
      </c>
    </row>
    <row r="110" spans="1:9" x14ac:dyDescent="0.4">
      <c r="A110" s="2">
        <f>59.63*(100000)</f>
        <v>5963000</v>
      </c>
      <c r="B110">
        <f t="shared" si="3"/>
        <v>6.7754648093457392</v>
      </c>
      <c r="E110" s="2">
        <v>13728200</v>
      </c>
      <c r="F110">
        <f t="shared" si="4"/>
        <v>7.1376135975926021</v>
      </c>
      <c r="H110">
        <v>2880930</v>
      </c>
      <c r="I110">
        <f t="shared" si="5"/>
        <v>6.4595327060474856</v>
      </c>
    </row>
    <row r="111" spans="1:9" x14ac:dyDescent="0.4">
      <c r="A111" s="2">
        <f>55.93*(100000)</f>
        <v>5593000</v>
      </c>
      <c r="B111">
        <f t="shared" si="3"/>
        <v>6.7476448193282481</v>
      </c>
      <c r="E111" s="2">
        <v>6962040</v>
      </c>
      <c r="F111">
        <f t="shared" si="4"/>
        <v>6.8427365141693803</v>
      </c>
      <c r="H111">
        <v>293020</v>
      </c>
      <c r="I111">
        <f t="shared" si="5"/>
        <v>5.4668972640169242</v>
      </c>
    </row>
    <row r="112" spans="1:9" x14ac:dyDescent="0.4">
      <c r="A112" s="2">
        <f>54.57*(100000)</f>
        <v>5457000</v>
      </c>
      <c r="B112">
        <f t="shared" si="3"/>
        <v>6.7369539537831464</v>
      </c>
      <c r="E112" s="2">
        <v>9957820</v>
      </c>
      <c r="F112">
        <f t="shared" si="4"/>
        <v>6.9981642715966732</v>
      </c>
      <c r="H112">
        <v>2556840</v>
      </c>
      <c r="I112">
        <f t="shared" si="5"/>
        <v>6.4077035519249605</v>
      </c>
    </row>
    <row r="113" spans="1:9" x14ac:dyDescent="0.4">
      <c r="A113" s="2">
        <f>49.65*(100000)</f>
        <v>4965000</v>
      </c>
      <c r="B113">
        <f t="shared" si="3"/>
        <v>6.6959192528314002</v>
      </c>
      <c r="E113" s="2">
        <v>3849870</v>
      </c>
      <c r="F113">
        <f t="shared" si="4"/>
        <v>6.5854460647719133</v>
      </c>
      <c r="H113">
        <v>3975990</v>
      </c>
      <c r="I113">
        <f t="shared" si="5"/>
        <v>6.5994452834339574</v>
      </c>
    </row>
    <row r="114" spans="1:9" x14ac:dyDescent="0.4">
      <c r="A114" s="2">
        <f>48.16*(100000)</f>
        <v>4816000</v>
      </c>
      <c r="B114">
        <f t="shared" si="3"/>
        <v>6.6826864782497681</v>
      </c>
      <c r="E114" s="2">
        <v>2635290</v>
      </c>
      <c r="F114">
        <f t="shared" si="4"/>
        <v>6.4208284140342116</v>
      </c>
      <c r="H114">
        <v>4375327</v>
      </c>
      <c r="I114">
        <f t="shared" si="5"/>
        <v>6.6410105165557196</v>
      </c>
    </row>
    <row r="115" spans="1:9" x14ac:dyDescent="0.4">
      <c r="A115" s="2">
        <f>49.06*(100000)</f>
        <v>4906000</v>
      </c>
      <c r="B115">
        <f t="shared" si="3"/>
        <v>6.6907275438703673</v>
      </c>
      <c r="E115" s="2">
        <v>6514050</v>
      </c>
      <c r="F115">
        <f t="shared" si="4"/>
        <v>6.8138510877628971</v>
      </c>
      <c r="H115">
        <v>4703253</v>
      </c>
      <c r="I115">
        <f t="shared" si="5"/>
        <v>6.6723983411846506</v>
      </c>
    </row>
    <row r="116" spans="1:9" x14ac:dyDescent="0.4">
      <c r="A116" s="2">
        <f>50.1*(100000)</f>
        <v>5010000</v>
      </c>
      <c r="B116">
        <f t="shared" si="3"/>
        <v>6.6998377258672459</v>
      </c>
      <c r="E116" s="2">
        <v>1629550</v>
      </c>
      <c r="F116">
        <f t="shared" si="4"/>
        <v>6.2120676906010717</v>
      </c>
      <c r="H116">
        <v>4912789.2</v>
      </c>
      <c r="I116">
        <f t="shared" si="5"/>
        <v>6.6913281296465508</v>
      </c>
    </row>
    <row r="117" spans="1:9" x14ac:dyDescent="0.4">
      <c r="A117" s="2">
        <f>84.41*(100000)</f>
        <v>8441000</v>
      </c>
      <c r="B117">
        <f t="shared" si="3"/>
        <v>6.9263939002696819</v>
      </c>
      <c r="E117" s="2">
        <v>11510000</v>
      </c>
      <c r="F117">
        <f t="shared" si="4"/>
        <v>7.0610753236297921</v>
      </c>
      <c r="H117">
        <v>40735800</v>
      </c>
      <c r="I117">
        <f t="shared" si="5"/>
        <v>7.6099762497291188</v>
      </c>
    </row>
    <row r="118" spans="1:9" x14ac:dyDescent="0.4">
      <c r="A118" s="2">
        <f>55.3*(100000)</f>
        <v>5530000</v>
      </c>
      <c r="B118">
        <f t="shared" si="3"/>
        <v>6.7427251313046979</v>
      </c>
      <c r="E118" s="2">
        <v>15879300</v>
      </c>
      <c r="F118">
        <f t="shared" si="4"/>
        <v>7.2008313537058184</v>
      </c>
      <c r="H118">
        <v>20964500</v>
      </c>
      <c r="I118">
        <f t="shared" si="5"/>
        <v>7.321484509008588</v>
      </c>
    </row>
    <row r="119" spans="1:9" x14ac:dyDescent="0.4">
      <c r="A119" s="2">
        <f>51.68*(100000)</f>
        <v>5168000</v>
      </c>
      <c r="B119">
        <f t="shared" si="3"/>
        <v>6.713322504987028</v>
      </c>
      <c r="E119" s="2">
        <v>10194600</v>
      </c>
      <c r="F119">
        <f t="shared" si="4"/>
        <v>7.0083701902710249</v>
      </c>
      <c r="H119">
        <v>4562820</v>
      </c>
      <c r="I119">
        <f t="shared" si="5"/>
        <v>6.6592333365025187</v>
      </c>
    </row>
    <row r="120" spans="1:9" x14ac:dyDescent="0.4">
      <c r="A120" s="2">
        <f>79.24*(100000)</f>
        <v>7923999.9999999991</v>
      </c>
      <c r="B120">
        <f t="shared" si="3"/>
        <v>6.8989444668665092</v>
      </c>
      <c r="E120" s="2">
        <v>12911700</v>
      </c>
      <c r="F120">
        <f t="shared" si="4"/>
        <v>7.1109834267755971</v>
      </c>
      <c r="H120">
        <v>3776229.9999999986</v>
      </c>
      <c r="I120">
        <f t="shared" si="5"/>
        <v>6.5770584381389625</v>
      </c>
    </row>
    <row r="121" spans="1:9" x14ac:dyDescent="0.4">
      <c r="A121" s="2">
        <f>128.04*(100000)</f>
        <v>12804000</v>
      </c>
      <c r="B121">
        <f t="shared" si="3"/>
        <v>7.1073456654720948</v>
      </c>
      <c r="E121" s="2">
        <v>26550400</v>
      </c>
      <c r="F121">
        <f t="shared" si="4"/>
        <v>7.4240710684112416</v>
      </c>
      <c r="H121">
        <v>87334000</v>
      </c>
      <c r="I121">
        <f t="shared" si="5"/>
        <v>7.9411833518124819</v>
      </c>
    </row>
    <row r="122" spans="1:9" x14ac:dyDescent="0.4">
      <c r="A122" s="2">
        <f>85.5*(100000)</f>
        <v>8550000</v>
      </c>
      <c r="B122">
        <f t="shared" si="3"/>
        <v>6.9319661147281728</v>
      </c>
      <c r="E122" s="2">
        <v>27396400</v>
      </c>
      <c r="F122">
        <f t="shared" si="4"/>
        <v>7.4376934984826901</v>
      </c>
      <c r="H122">
        <v>34820000</v>
      </c>
      <c r="I122">
        <f t="shared" si="5"/>
        <v>7.541828766781312</v>
      </c>
    </row>
    <row r="123" spans="1:9" x14ac:dyDescent="0.4">
      <c r="A123" s="2">
        <f>71.37*(100000)</f>
        <v>7137000</v>
      </c>
      <c r="B123">
        <f t="shared" si="3"/>
        <v>6.8535156967569284</v>
      </c>
      <c r="E123" s="2">
        <v>25399500</v>
      </c>
      <c r="F123">
        <f t="shared" si="4"/>
        <v>7.4048251674318175</v>
      </c>
      <c r="H123">
        <v>10373600</v>
      </c>
      <c r="I123">
        <f t="shared" si="5"/>
        <v>7.0159294978370585</v>
      </c>
    </row>
    <row r="124" spans="1:9" x14ac:dyDescent="0.4">
      <c r="A124" s="2">
        <f>63.83*(100000)</f>
        <v>6383000</v>
      </c>
      <c r="B124">
        <f t="shared" si="3"/>
        <v>6.8050248444298056</v>
      </c>
      <c r="E124" s="2">
        <v>21661200</v>
      </c>
      <c r="F124">
        <f t="shared" si="4"/>
        <v>7.3356825122589431</v>
      </c>
      <c r="H124">
        <v>805120</v>
      </c>
      <c r="I124">
        <f t="shared" si="5"/>
        <v>5.905860615093137</v>
      </c>
    </row>
    <row r="125" spans="1:9" x14ac:dyDescent="0.4">
      <c r="A125" s="2">
        <f>61.43*(100000)</f>
        <v>6143000</v>
      </c>
      <c r="B125">
        <f t="shared" si="3"/>
        <v>6.7883805153195631</v>
      </c>
      <c r="E125" s="2">
        <v>17947800</v>
      </c>
      <c r="F125">
        <f t="shared" si="4"/>
        <v>7.2540112213591241</v>
      </c>
      <c r="H125">
        <v>2952710</v>
      </c>
      <c r="I125">
        <f t="shared" si="5"/>
        <v>6.4702207948877319</v>
      </c>
    </row>
    <row r="126" spans="1:9" x14ac:dyDescent="0.4">
      <c r="A126" s="2">
        <f>60.65*(100000)</f>
        <v>6065000</v>
      </c>
      <c r="B126">
        <f t="shared" si="3"/>
        <v>6.7828308052025914</v>
      </c>
      <c r="E126" s="2">
        <v>16402000.000000002</v>
      </c>
      <c r="F126">
        <f t="shared" si="4"/>
        <v>7.2148968075602209</v>
      </c>
      <c r="H126">
        <v>3603300</v>
      </c>
      <c r="I126">
        <f t="shared" si="5"/>
        <v>6.5567004216897935</v>
      </c>
    </row>
    <row r="127" spans="1:9" x14ac:dyDescent="0.4">
      <c r="A127" s="2">
        <f>102.74*(100000)</f>
        <v>10274000</v>
      </c>
      <c r="B127">
        <f t="shared" si="3"/>
        <v>7.0117395613883184</v>
      </c>
      <c r="E127" s="2">
        <v>13499600</v>
      </c>
      <c r="F127">
        <f t="shared" si="4"/>
        <v>7.1303209003197168</v>
      </c>
      <c r="H127">
        <v>7097310</v>
      </c>
      <c r="I127">
        <f t="shared" si="5"/>
        <v>6.8510937749835863</v>
      </c>
    </row>
    <row r="128" spans="1:9" x14ac:dyDescent="0.4">
      <c r="A128" s="2">
        <f>855.1*(100000)</f>
        <v>85510000</v>
      </c>
      <c r="B128">
        <f t="shared" si="3"/>
        <v>7.9320169064342014</v>
      </c>
      <c r="E128" s="2">
        <v>28205100</v>
      </c>
      <c r="F128">
        <f t="shared" si="4"/>
        <v>7.4503276438370269</v>
      </c>
      <c r="H128">
        <v>19379000</v>
      </c>
      <c r="I128">
        <f t="shared" si="5"/>
        <v>7.2873313627205771</v>
      </c>
    </row>
    <row r="129" spans="1:9" x14ac:dyDescent="0.4">
      <c r="A129" s="2">
        <f>464.01*(100000)</f>
        <v>46401000</v>
      </c>
      <c r="B129">
        <f t="shared" si="3"/>
        <v>7.6665273402488907</v>
      </c>
      <c r="E129" s="2">
        <v>47570000</v>
      </c>
      <c r="F129">
        <f t="shared" si="4"/>
        <v>7.6773331514199015</v>
      </c>
      <c r="H129">
        <v>93739000</v>
      </c>
      <c r="I129">
        <f t="shared" si="5"/>
        <v>7.9719203161908228</v>
      </c>
    </row>
    <row r="130" spans="1:9" x14ac:dyDescent="0.4">
      <c r="A130" s="2">
        <f>181.57*(100000)</f>
        <v>18157000</v>
      </c>
      <c r="B130">
        <f t="shared" si="3"/>
        <v>7.2590440935752323</v>
      </c>
      <c r="E130" s="2">
        <v>43588300</v>
      </c>
      <c r="F130">
        <f t="shared" si="4"/>
        <v>7.6393699313022356</v>
      </c>
      <c r="H130">
        <v>40625200</v>
      </c>
      <c r="I130">
        <f t="shared" si="5"/>
        <v>7.6087955120468092</v>
      </c>
    </row>
    <row r="131" spans="1:9" x14ac:dyDescent="0.4">
      <c r="A131" s="2">
        <f>110.68*(100000)</f>
        <v>11068000</v>
      </c>
      <c r="B131">
        <f t="shared" ref="B131:B194" si="6">LOG(A131)</f>
        <v>7.0440691504689141</v>
      </c>
      <c r="E131" s="2">
        <v>39510600</v>
      </c>
      <c r="F131">
        <f t="shared" ref="F131:F194" si="7">LOG(E131)</f>
        <v>7.5967136248399028</v>
      </c>
      <c r="H131">
        <v>13229800</v>
      </c>
      <c r="I131">
        <f t="shared" ref="I131:I194" si="8">LOG(H131)</f>
        <v>7.1215532788395857</v>
      </c>
    </row>
    <row r="132" spans="1:9" x14ac:dyDescent="0.4">
      <c r="A132" s="2">
        <f>91.77*(100000)</f>
        <v>9177000</v>
      </c>
      <c r="B132">
        <f t="shared" si="6"/>
        <v>6.9627007317043415</v>
      </c>
      <c r="E132" s="2">
        <v>33576800</v>
      </c>
      <c r="F132">
        <f t="shared" si="7"/>
        <v>7.5260393038162077</v>
      </c>
      <c r="H132">
        <v>805860</v>
      </c>
      <c r="I132">
        <f t="shared" si="8"/>
        <v>5.9062595994867513</v>
      </c>
    </row>
    <row r="133" spans="1:9" x14ac:dyDescent="0.4">
      <c r="A133" s="2">
        <f>78.47*(100000)</f>
        <v>7847000</v>
      </c>
      <c r="B133">
        <f t="shared" si="6"/>
        <v>6.8947036526092296</v>
      </c>
      <c r="E133" s="2">
        <v>27939200</v>
      </c>
      <c r="F133">
        <f t="shared" si="7"/>
        <v>7.4462139665398084</v>
      </c>
      <c r="H133">
        <v>1040530</v>
      </c>
      <c r="I133">
        <f t="shared" si="8"/>
        <v>6.0172546060725232</v>
      </c>
    </row>
    <row r="134" spans="1:9" x14ac:dyDescent="0.4">
      <c r="A134" s="2">
        <f>72.94*(100000)</f>
        <v>7294000</v>
      </c>
      <c r="B134">
        <f t="shared" si="6"/>
        <v>6.8629657589777624</v>
      </c>
      <c r="E134" s="2">
        <v>23080700</v>
      </c>
      <c r="F134">
        <f t="shared" si="7"/>
        <v>7.3632489761269904</v>
      </c>
      <c r="H134">
        <v>5255660</v>
      </c>
      <c r="I134">
        <f t="shared" si="8"/>
        <v>6.7206272620121563</v>
      </c>
    </row>
    <row r="135" spans="1:9" x14ac:dyDescent="0.4">
      <c r="A135" s="2">
        <f>73.85*(100000)</f>
        <v>7384999.9999999991</v>
      </c>
      <c r="B135">
        <f t="shared" si="6"/>
        <v>6.8683504996479678</v>
      </c>
      <c r="E135" s="2">
        <v>24411000</v>
      </c>
      <c r="F135">
        <f t="shared" si="7"/>
        <v>7.3875855707152764</v>
      </c>
      <c r="H135">
        <v>19640100</v>
      </c>
      <c r="I135">
        <f t="shared" si="8"/>
        <v>7.2931436947206674</v>
      </c>
    </row>
    <row r="136" spans="1:9" x14ac:dyDescent="0.4">
      <c r="A136" s="2">
        <f>62.16*(100000)</f>
        <v>6216000</v>
      </c>
      <c r="B136">
        <f t="shared" si="6"/>
        <v>6.7935110057928583</v>
      </c>
      <c r="E136" s="2">
        <v>20475600</v>
      </c>
      <c r="F136">
        <f t="shared" si="7"/>
        <v>7.3112366368242139</v>
      </c>
      <c r="H136">
        <v>3708360</v>
      </c>
      <c r="I136">
        <f t="shared" si="8"/>
        <v>6.5691818879385773</v>
      </c>
    </row>
    <row r="137" spans="1:9" x14ac:dyDescent="0.4">
      <c r="A137" s="2">
        <f>56.01*(100000)</f>
        <v>5601000</v>
      </c>
      <c r="B137">
        <f t="shared" si="6"/>
        <v>6.7482655726687408</v>
      </c>
      <c r="E137" s="2">
        <v>17614100</v>
      </c>
      <c r="F137">
        <f t="shared" si="7"/>
        <v>7.2458604576211929</v>
      </c>
      <c r="H137">
        <v>1661160</v>
      </c>
      <c r="I137">
        <f t="shared" si="8"/>
        <v>6.2204114649442053</v>
      </c>
    </row>
    <row r="138" spans="1:9" x14ac:dyDescent="0.4">
      <c r="A138" s="2">
        <f>55.38*(100000)</f>
        <v>5538000</v>
      </c>
      <c r="B138">
        <f t="shared" si="6"/>
        <v>6.7433529514095554</v>
      </c>
      <c r="E138" s="2">
        <v>14678700</v>
      </c>
      <c r="F138">
        <f t="shared" si="7"/>
        <v>7.1666875945564472</v>
      </c>
      <c r="H138">
        <v>3813150</v>
      </c>
      <c r="I138">
        <f t="shared" si="8"/>
        <v>6.5812838896930153</v>
      </c>
    </row>
    <row r="139" spans="1:9" x14ac:dyDescent="0.4">
      <c r="A139" s="2">
        <f>53.54*(100000)</f>
        <v>5354000</v>
      </c>
      <c r="B139">
        <f t="shared" si="6"/>
        <v>6.7286783668509136</v>
      </c>
      <c r="E139" s="2">
        <v>12075700</v>
      </c>
      <c r="F139">
        <f t="shared" si="7"/>
        <v>7.0819123151855292</v>
      </c>
      <c r="H139">
        <v>4570527</v>
      </c>
      <c r="I139">
        <f t="shared" si="8"/>
        <v>6.6599662788436929</v>
      </c>
    </row>
    <row r="140" spans="1:9" x14ac:dyDescent="0.4">
      <c r="A140" s="2">
        <f>56.9*(100000)</f>
        <v>5690000</v>
      </c>
      <c r="B140">
        <f t="shared" si="6"/>
        <v>6.7551122663950709</v>
      </c>
      <c r="E140" s="2">
        <v>10483700</v>
      </c>
      <c r="F140">
        <f t="shared" si="7"/>
        <v>7.0205145847460706</v>
      </c>
      <c r="H140">
        <v>2340210</v>
      </c>
      <c r="I140">
        <f t="shared" si="8"/>
        <v>6.3692548308071748</v>
      </c>
    </row>
    <row r="141" spans="1:9" x14ac:dyDescent="0.4">
      <c r="A141" s="2">
        <f>53.36*(100000)</f>
        <v>5336000</v>
      </c>
      <c r="B141">
        <f t="shared" si="6"/>
        <v>6.7272158209084925</v>
      </c>
      <c r="E141" s="2">
        <v>14586700</v>
      </c>
      <c r="F141">
        <f t="shared" si="7"/>
        <v>7.1639570510508346</v>
      </c>
      <c r="H141">
        <v>24774300</v>
      </c>
      <c r="I141">
        <f t="shared" si="8"/>
        <v>7.3940013923023322</v>
      </c>
    </row>
    <row r="142" spans="1:9" x14ac:dyDescent="0.4">
      <c r="A142" s="2">
        <f>47.87*(100000)</f>
        <v>4787000</v>
      </c>
      <c r="B142">
        <f t="shared" si="6"/>
        <v>6.6800634274819481</v>
      </c>
      <c r="E142" s="2">
        <v>8056730</v>
      </c>
      <c r="F142">
        <f t="shared" si="7"/>
        <v>6.9061588096568434</v>
      </c>
      <c r="H142">
        <v>6495100</v>
      </c>
      <c r="I142">
        <f t="shared" si="8"/>
        <v>6.8125858419546761</v>
      </c>
    </row>
    <row r="143" spans="1:9" x14ac:dyDescent="0.4">
      <c r="A143" s="2">
        <f>46.9*(100000)</f>
        <v>4690000</v>
      </c>
      <c r="B143">
        <f t="shared" si="6"/>
        <v>6.6711728427150829</v>
      </c>
      <c r="E143" s="2">
        <v>11514600</v>
      </c>
      <c r="F143">
        <f t="shared" si="7"/>
        <v>7.0612488558208684</v>
      </c>
      <c r="H143">
        <v>274770</v>
      </c>
      <c r="I143">
        <f t="shared" si="8"/>
        <v>5.4389693137379869</v>
      </c>
    </row>
    <row r="144" spans="1:9" x14ac:dyDescent="0.4">
      <c r="A144" s="2">
        <f>44.3*(100000)</f>
        <v>4430000</v>
      </c>
      <c r="B144">
        <f t="shared" si="6"/>
        <v>6.6464037262230695</v>
      </c>
      <c r="E144" s="2">
        <v>9606880</v>
      </c>
      <c r="F144">
        <f t="shared" si="7"/>
        <v>6.9825823659422879</v>
      </c>
      <c r="H144">
        <v>2483850</v>
      </c>
      <c r="I144">
        <f t="shared" si="8"/>
        <v>6.3951253652004851</v>
      </c>
    </row>
    <row r="145" spans="1:9" x14ac:dyDescent="0.4">
      <c r="A145" s="2">
        <f>42.89*(100000)</f>
        <v>4289000</v>
      </c>
      <c r="B145">
        <f t="shared" si="6"/>
        <v>6.6323560462390736</v>
      </c>
      <c r="E145" s="2">
        <v>3628980</v>
      </c>
      <c r="F145">
        <f t="shared" si="7"/>
        <v>6.5597845747275407</v>
      </c>
      <c r="H145">
        <v>3408191</v>
      </c>
      <c r="I145">
        <f t="shared" si="8"/>
        <v>6.5325239252735576</v>
      </c>
    </row>
    <row r="146" spans="1:9" x14ac:dyDescent="0.4">
      <c r="A146" s="2">
        <f>40.88*(100000)</f>
        <v>4088000.0000000005</v>
      </c>
      <c r="B146">
        <f t="shared" si="6"/>
        <v>6.6115108871266566</v>
      </c>
      <c r="E146" s="2">
        <v>2551260</v>
      </c>
      <c r="F146">
        <f t="shared" si="7"/>
        <v>6.4067547200019543</v>
      </c>
      <c r="H146">
        <v>3678244.0000000005</v>
      </c>
      <c r="I146">
        <f t="shared" si="8"/>
        <v>6.5656405352171117</v>
      </c>
    </row>
    <row r="147" spans="1:9" x14ac:dyDescent="0.4">
      <c r="A147" s="2">
        <f>41.04*(100000)</f>
        <v>4104000</v>
      </c>
      <c r="B147">
        <f t="shared" si="6"/>
        <v>6.6132073521037595</v>
      </c>
      <c r="E147" s="2">
        <v>6468460</v>
      </c>
      <c r="F147">
        <f t="shared" si="7"/>
        <v>6.8108008968803224</v>
      </c>
      <c r="H147">
        <v>3909772</v>
      </c>
      <c r="I147">
        <f t="shared" si="8"/>
        <v>6.5921514320687598</v>
      </c>
    </row>
    <row r="148" spans="1:9" x14ac:dyDescent="0.4">
      <c r="A148" s="2">
        <f>39.87*(100000)</f>
        <v>3986999.9999999995</v>
      </c>
      <c r="B148">
        <f t="shared" si="6"/>
        <v>6.6006462356623947</v>
      </c>
      <c r="E148" s="2">
        <v>1606430</v>
      </c>
      <c r="F148">
        <f t="shared" si="7"/>
        <v>6.2058618059684116</v>
      </c>
      <c r="H148">
        <v>3893793.9999999995</v>
      </c>
      <c r="I148">
        <f t="shared" si="8"/>
        <v>6.5903729715728723</v>
      </c>
    </row>
    <row r="149" spans="1:9" x14ac:dyDescent="0.4">
      <c r="A149" s="2">
        <f>39.03*(100000)</f>
        <v>3903000</v>
      </c>
      <c r="B149">
        <f t="shared" si="6"/>
        <v>6.591398551281249</v>
      </c>
      <c r="E149" s="2">
        <v>1320070</v>
      </c>
      <c r="F149">
        <f t="shared" si="7"/>
        <v>6.1205969613631872</v>
      </c>
      <c r="H149">
        <v>3857918.8</v>
      </c>
      <c r="I149">
        <f t="shared" si="8"/>
        <v>6.5863530825398389</v>
      </c>
    </row>
    <row r="150" spans="1:9" x14ac:dyDescent="0.4">
      <c r="A150" s="2">
        <f>42.9*(100000)</f>
        <v>4290000</v>
      </c>
      <c r="B150">
        <f t="shared" si="6"/>
        <v>6.632457292184724</v>
      </c>
      <c r="E150" s="2">
        <v>1093780</v>
      </c>
      <c r="F150">
        <f t="shared" si="7"/>
        <v>6.0389299779442247</v>
      </c>
      <c r="H150">
        <v>4268087.0999999996</v>
      </c>
      <c r="I150">
        <f t="shared" si="8"/>
        <v>6.6302332736070237</v>
      </c>
    </row>
    <row r="151" spans="1:9" x14ac:dyDescent="0.4">
      <c r="A151" s="2">
        <f>84.28*(100000)</f>
        <v>8428000</v>
      </c>
      <c r="B151">
        <f t="shared" si="6"/>
        <v>6.9257245269360626</v>
      </c>
      <c r="E151" s="2">
        <v>1062990</v>
      </c>
      <c r="F151">
        <f t="shared" si="7"/>
        <v>6.0265291789492172</v>
      </c>
      <c r="H151">
        <v>7672714</v>
      </c>
      <c r="I151">
        <f t="shared" si="8"/>
        <v>6.8849490101990742</v>
      </c>
    </row>
    <row r="152" spans="1:9" x14ac:dyDescent="0.4">
      <c r="A152" s="2">
        <f>405.57*(100000)</f>
        <v>40557000</v>
      </c>
      <c r="B152">
        <f t="shared" si="6"/>
        <v>7.6080658227643418</v>
      </c>
      <c r="E152" s="2">
        <v>13981500</v>
      </c>
      <c r="F152">
        <f t="shared" si="7"/>
        <v>7.145553767030318</v>
      </c>
      <c r="H152">
        <v>22946000</v>
      </c>
      <c r="I152">
        <f t="shared" si="8"/>
        <v>7.3607069892487367</v>
      </c>
    </row>
    <row r="153" spans="1:9" x14ac:dyDescent="0.4">
      <c r="A153" s="2">
        <f>155.29*(100000)</f>
        <v>15529000</v>
      </c>
      <c r="B153">
        <f t="shared" si="6"/>
        <v>7.1911434899548983</v>
      </c>
      <c r="E153" s="2">
        <v>27792400</v>
      </c>
      <c r="F153">
        <f t="shared" si="7"/>
        <v>7.4439260516982539</v>
      </c>
      <c r="H153">
        <v>63526600</v>
      </c>
      <c r="I153">
        <f t="shared" si="8"/>
        <v>7.8029556121312282</v>
      </c>
    </row>
    <row r="154" spans="1:9" x14ac:dyDescent="0.4">
      <c r="A154" s="2">
        <f>139.3*(100000)</f>
        <v>13930000.000000002</v>
      </c>
      <c r="B154">
        <f t="shared" si="6"/>
        <v>7.1439511164239633</v>
      </c>
      <c r="E154" s="2">
        <v>27836700</v>
      </c>
      <c r="F154">
        <f t="shared" si="7"/>
        <v>7.444617749015495</v>
      </c>
      <c r="H154">
        <v>30566000</v>
      </c>
      <c r="I154">
        <f t="shared" si="8"/>
        <v>7.4852386087754841</v>
      </c>
    </row>
    <row r="155" spans="1:9" x14ac:dyDescent="0.4">
      <c r="A155" s="2">
        <f>113.55*(100000)</f>
        <v>11355000</v>
      </c>
      <c r="B155">
        <f t="shared" si="6"/>
        <v>7.0551871385557536</v>
      </c>
      <c r="E155" s="2">
        <v>25852700</v>
      </c>
      <c r="F155">
        <f t="shared" si="7"/>
        <v>7.4125059065737666</v>
      </c>
      <c r="H155">
        <v>10175800</v>
      </c>
      <c r="I155">
        <f t="shared" si="8"/>
        <v>7.00756856255847</v>
      </c>
    </row>
    <row r="156" spans="1:9" x14ac:dyDescent="0.4">
      <c r="A156" s="2">
        <f>86.25*(100000)</f>
        <v>8625000</v>
      </c>
      <c r="B156">
        <f t="shared" si="6"/>
        <v>6.9357591037453119</v>
      </c>
      <c r="E156" s="2">
        <v>22121700</v>
      </c>
      <c r="F156">
        <f t="shared" si="7"/>
        <v>7.344818498412506</v>
      </c>
      <c r="H156">
        <v>4306100</v>
      </c>
      <c r="I156">
        <f t="shared" si="8"/>
        <v>6.6340841111688222</v>
      </c>
    </row>
    <row r="157" spans="1:9" x14ac:dyDescent="0.4">
      <c r="A157" s="2">
        <f>74.52*(100000)</f>
        <v>7452000</v>
      </c>
      <c r="B157">
        <f t="shared" si="6"/>
        <v>6.8722728462242051</v>
      </c>
      <c r="E157" s="2">
        <v>18415700</v>
      </c>
      <c r="F157">
        <f t="shared" si="7"/>
        <v>7.2651882314917442</v>
      </c>
      <c r="H157">
        <v>3691740</v>
      </c>
      <c r="I157">
        <f t="shared" si="8"/>
        <v>6.5672311071584746</v>
      </c>
    </row>
    <row r="158" spans="1:9" x14ac:dyDescent="0.4">
      <c r="A158" s="2">
        <f>102.41*(100000)</f>
        <v>10241000</v>
      </c>
      <c r="B158">
        <f t="shared" si="6"/>
        <v>7.0103423661395681</v>
      </c>
      <c r="E158" s="2">
        <v>15089800</v>
      </c>
      <c r="F158">
        <f t="shared" si="7"/>
        <v>7.1786834836806932</v>
      </c>
      <c r="H158">
        <v>8495140</v>
      </c>
      <c r="I158">
        <f t="shared" si="8"/>
        <v>6.929170540441846</v>
      </c>
    </row>
    <row r="159" spans="1:9" x14ac:dyDescent="0.4">
      <c r="A159" s="2">
        <f>100.19*(100000)</f>
        <v>10019000</v>
      </c>
      <c r="B159">
        <f t="shared" si="6"/>
        <v>7.0008243766056051</v>
      </c>
      <c r="E159" s="2">
        <v>15541600</v>
      </c>
      <c r="F159">
        <f t="shared" si="7"/>
        <v>7.1914957271676947</v>
      </c>
      <c r="H159">
        <v>28032900</v>
      </c>
      <c r="I159">
        <f t="shared" si="8"/>
        <v>7.4476680277941814</v>
      </c>
    </row>
    <row r="160" spans="1:9" x14ac:dyDescent="0.4">
      <c r="A160" s="2">
        <f>158.38*(100000)</f>
        <v>15838000</v>
      </c>
      <c r="B160">
        <f t="shared" si="6"/>
        <v>7.1997003386295111</v>
      </c>
      <c r="E160" s="2">
        <v>17262400</v>
      </c>
      <c r="F160">
        <f t="shared" si="7"/>
        <v>7.2371011757532928</v>
      </c>
      <c r="H160">
        <v>1003800</v>
      </c>
      <c r="I160">
        <f t="shared" si="8"/>
        <v>6.0016471913460379</v>
      </c>
    </row>
    <row r="161" spans="1:9" x14ac:dyDescent="0.4">
      <c r="A161" s="2">
        <f>194.83*(100000)</f>
        <v>19483000</v>
      </c>
      <c r="B161">
        <f t="shared" si="6"/>
        <v>7.2896558305267503</v>
      </c>
      <c r="E161" s="2">
        <v>23507100</v>
      </c>
      <c r="F161">
        <f t="shared" si="7"/>
        <v>7.3711990548296678</v>
      </c>
      <c r="H161">
        <v>26443300</v>
      </c>
      <c r="I161">
        <f t="shared" si="8"/>
        <v>7.4223156521131486</v>
      </c>
    </row>
    <row r="162" spans="1:9" x14ac:dyDescent="0.4">
      <c r="A162" s="2">
        <f>131.28*(100000)</f>
        <v>13128000</v>
      </c>
      <c r="B162">
        <f t="shared" si="6"/>
        <v>7.1181985680450364</v>
      </c>
      <c r="E162" s="2">
        <v>20130100</v>
      </c>
      <c r="F162">
        <f t="shared" si="7"/>
        <v>7.3038459323322868</v>
      </c>
      <c r="H162">
        <v>5178100</v>
      </c>
      <c r="I162">
        <f t="shared" si="8"/>
        <v>6.7141704333195618</v>
      </c>
    </row>
    <row r="163" spans="1:9" x14ac:dyDescent="0.4">
      <c r="A163" s="2">
        <f>84.96*(100000)</f>
        <v>8496000</v>
      </c>
      <c r="B163">
        <f t="shared" si="6"/>
        <v>6.929214503737394</v>
      </c>
      <c r="E163" s="2">
        <v>18042400</v>
      </c>
      <c r="F163">
        <f t="shared" si="7"/>
        <v>7.2562943068993642</v>
      </c>
      <c r="H163">
        <v>164350</v>
      </c>
      <c r="I163">
        <f t="shared" si="8"/>
        <v>5.2157697084176435</v>
      </c>
    </row>
    <row r="164" spans="1:9" x14ac:dyDescent="0.4">
      <c r="A164" s="2">
        <f>68.54*(100000)</f>
        <v>6854000.0000000009</v>
      </c>
      <c r="B164">
        <f t="shared" si="6"/>
        <v>6.8359441000938483</v>
      </c>
      <c r="E164" s="2">
        <v>15106100</v>
      </c>
      <c r="F164">
        <f t="shared" si="7"/>
        <v>7.1791523553316532</v>
      </c>
      <c r="H164">
        <v>3238300.0000000009</v>
      </c>
      <c r="I164">
        <f t="shared" si="8"/>
        <v>6.5103170798433432</v>
      </c>
    </row>
    <row r="165" spans="1:9" x14ac:dyDescent="0.4">
      <c r="A165" s="2">
        <f>63.31*(100000)</f>
        <v>6331000</v>
      </c>
      <c r="B165">
        <f t="shared" si="6"/>
        <v>6.8014723135214714</v>
      </c>
      <c r="E165" s="2">
        <v>8060810</v>
      </c>
      <c r="F165">
        <f t="shared" si="7"/>
        <v>6.9063786845911093</v>
      </c>
      <c r="H165">
        <v>4691520</v>
      </c>
      <c r="I165">
        <f t="shared" si="8"/>
        <v>6.6713135720677403</v>
      </c>
    </row>
    <row r="166" spans="1:9" x14ac:dyDescent="0.4">
      <c r="A166" s="2">
        <f>55.9*(100000)</f>
        <v>5590000</v>
      </c>
      <c r="B166">
        <f t="shared" si="6"/>
        <v>6.7474118078864231</v>
      </c>
      <c r="E166" s="2">
        <v>10536100</v>
      </c>
      <c r="F166">
        <f t="shared" si="7"/>
        <v>7.0226798839394995</v>
      </c>
      <c r="H166">
        <v>4817034</v>
      </c>
      <c r="I166">
        <f t="shared" si="8"/>
        <v>6.6827797116995855</v>
      </c>
    </row>
    <row r="167" spans="1:9" x14ac:dyDescent="0.4">
      <c r="A167" s="2">
        <f>59.4*(100000)</f>
        <v>5940000</v>
      </c>
      <c r="B167">
        <f t="shared" si="6"/>
        <v>6.7737864449811935</v>
      </c>
      <c r="E167" s="2">
        <v>4190060</v>
      </c>
      <c r="F167">
        <f t="shared" si="7"/>
        <v>6.6222202419358291</v>
      </c>
      <c r="H167">
        <v>5567349</v>
      </c>
      <c r="I167">
        <f t="shared" si="8"/>
        <v>6.7456484467467437</v>
      </c>
    </row>
    <row r="168" spans="1:9" x14ac:dyDescent="0.4">
      <c r="A168" s="2">
        <f>65.4*(100000)</f>
        <v>6540000.0000000009</v>
      </c>
      <c r="B168">
        <f t="shared" si="6"/>
        <v>6.8155777483242677</v>
      </c>
      <c r="E168" s="2">
        <v>8268430</v>
      </c>
      <c r="F168">
        <f t="shared" si="7"/>
        <v>6.9174230540427271</v>
      </c>
      <c r="H168">
        <v>1894990.0000000009</v>
      </c>
      <c r="I168">
        <f t="shared" si="8"/>
        <v>6.2776069225065836</v>
      </c>
    </row>
    <row r="169" spans="1:9" x14ac:dyDescent="0.4">
      <c r="A169" s="2">
        <f>58.41*(100000)</f>
        <v>5841000</v>
      </c>
      <c r="B169">
        <f t="shared" si="6"/>
        <v>6.7664872062396944</v>
      </c>
      <c r="E169" s="2">
        <v>2931880</v>
      </c>
      <c r="F169">
        <f t="shared" si="7"/>
        <v>6.4671461909335042</v>
      </c>
      <c r="H169">
        <v>4423950</v>
      </c>
      <c r="I169">
        <f t="shared" si="8"/>
        <v>6.6458102098773821</v>
      </c>
    </row>
    <row r="170" spans="1:9" x14ac:dyDescent="0.4">
      <c r="A170" s="2">
        <f>55.07*(100000)</f>
        <v>5507000</v>
      </c>
      <c r="B170">
        <f t="shared" si="6"/>
        <v>6.7409150764812829</v>
      </c>
      <c r="E170" s="2">
        <v>2144260</v>
      </c>
      <c r="F170">
        <f t="shared" si="7"/>
        <v>6.3312774441360444</v>
      </c>
      <c r="H170">
        <v>4895049</v>
      </c>
      <c r="I170">
        <f t="shared" si="8"/>
        <v>6.6897570434983198</v>
      </c>
    </row>
    <row r="171" spans="1:9" x14ac:dyDescent="0.4">
      <c r="A171" s="2">
        <f>52.75*(100000)</f>
        <v>5275000</v>
      </c>
      <c r="B171">
        <f t="shared" si="6"/>
        <v>6.7222224639697306</v>
      </c>
      <c r="E171" s="2">
        <v>6157480</v>
      </c>
      <c r="F171">
        <f t="shared" si="7"/>
        <v>6.7894030098893392</v>
      </c>
      <c r="H171">
        <v>4995242</v>
      </c>
      <c r="I171">
        <f t="shared" si="8"/>
        <v>6.6985565329461361</v>
      </c>
    </row>
    <row r="172" spans="1:9" x14ac:dyDescent="0.4">
      <c r="A172" s="2">
        <f>48.57*(100000)</f>
        <v>4857000</v>
      </c>
      <c r="B172">
        <f t="shared" si="6"/>
        <v>6.6863681034730362</v>
      </c>
      <c r="E172" s="2">
        <v>1378880</v>
      </c>
      <c r="F172">
        <f t="shared" si="7"/>
        <v>6.1395264724082734</v>
      </c>
      <c r="H172">
        <v>4727335</v>
      </c>
      <c r="I172">
        <f t="shared" si="8"/>
        <v>6.6746163794335107</v>
      </c>
    </row>
    <row r="173" spans="1:9" x14ac:dyDescent="0.4">
      <c r="A173" s="2">
        <f>57.01*(100000)</f>
        <v>5701000</v>
      </c>
      <c r="B173">
        <f t="shared" si="6"/>
        <v>6.7559510410041321</v>
      </c>
      <c r="E173" s="2">
        <v>1134770</v>
      </c>
      <c r="F173">
        <f t="shared" si="7"/>
        <v>6.0549078457996366</v>
      </c>
      <c r="H173">
        <v>5639689</v>
      </c>
      <c r="I173">
        <f t="shared" si="8"/>
        <v>6.751255155524496</v>
      </c>
    </row>
    <row r="174" spans="1:9" x14ac:dyDescent="0.4">
      <c r="A174" s="2">
        <f>43.05*(100000)</f>
        <v>4305000</v>
      </c>
      <c r="B174">
        <f t="shared" si="6"/>
        <v>6.6339731557896737</v>
      </c>
      <c r="E174" s="2">
        <v>9570380</v>
      </c>
      <c r="F174">
        <f t="shared" si="7"/>
        <v>6.9809291821474515</v>
      </c>
      <c r="H174">
        <v>37410500</v>
      </c>
      <c r="I174">
        <f t="shared" si="8"/>
        <v>7.5729935126833654</v>
      </c>
    </row>
    <row r="175" spans="1:9" x14ac:dyDescent="0.4">
      <c r="A175" s="2">
        <f>34.13*(100000)</f>
        <v>3413000.0000000005</v>
      </c>
      <c r="B175">
        <f t="shared" si="6"/>
        <v>6.533136288278639</v>
      </c>
      <c r="E175" s="2">
        <v>12919600</v>
      </c>
      <c r="F175">
        <f t="shared" si="7"/>
        <v>7.1112490678013298</v>
      </c>
      <c r="H175">
        <v>13793900</v>
      </c>
      <c r="I175">
        <f t="shared" si="8"/>
        <v>7.1396870732111646</v>
      </c>
    </row>
    <row r="176" spans="1:9" x14ac:dyDescent="0.4">
      <c r="A176" s="2">
        <f>29.92*(100000)</f>
        <v>2992000</v>
      </c>
      <c r="B176">
        <f t="shared" si="6"/>
        <v>6.4759615891924236</v>
      </c>
      <c r="E176" s="2">
        <v>7554490</v>
      </c>
      <c r="F176">
        <f t="shared" si="7"/>
        <v>6.8782051506522848</v>
      </c>
      <c r="H176">
        <v>3494840</v>
      </c>
      <c r="I176">
        <f t="shared" si="8"/>
        <v>6.5434272977618999</v>
      </c>
    </row>
    <row r="177" spans="1:9" x14ac:dyDescent="0.4">
      <c r="A177" s="2">
        <f>32.42*(100000)</f>
        <v>3242000</v>
      </c>
      <c r="B177">
        <f t="shared" si="6"/>
        <v>6.5108130105124964</v>
      </c>
      <c r="E177" s="2">
        <v>10350400</v>
      </c>
      <c r="F177">
        <f t="shared" si="7"/>
        <v>7.0149571337964129</v>
      </c>
      <c r="H177">
        <v>419550</v>
      </c>
      <c r="I177">
        <f t="shared" si="8"/>
        <v>5.6227837254272082</v>
      </c>
    </row>
    <row r="178" spans="1:9" x14ac:dyDescent="0.4">
      <c r="A178" s="2">
        <f>46.57*(100000)</f>
        <v>4657000</v>
      </c>
      <c r="B178">
        <f t="shared" si="6"/>
        <v>6.6681062379327312</v>
      </c>
      <c r="E178" s="2">
        <v>15174700</v>
      </c>
      <c r="F178">
        <f t="shared" si="7"/>
        <v>7.1811201139395555</v>
      </c>
      <c r="H178">
        <v>49482200</v>
      </c>
      <c r="I178">
        <f t="shared" si="8"/>
        <v>7.6944490003067205</v>
      </c>
    </row>
    <row r="179" spans="1:9" x14ac:dyDescent="0.4">
      <c r="A179" s="2">
        <f>37.31*(100000)</f>
        <v>3731000</v>
      </c>
      <c r="B179">
        <f t="shared" si="6"/>
        <v>6.5718252490408293</v>
      </c>
      <c r="E179" s="2">
        <v>18160100</v>
      </c>
      <c r="F179">
        <f t="shared" si="7"/>
        <v>7.2591182356679198</v>
      </c>
      <c r="H179">
        <v>24293400</v>
      </c>
      <c r="I179">
        <f t="shared" si="8"/>
        <v>7.3854883010506747</v>
      </c>
    </row>
    <row r="180" spans="1:9" x14ac:dyDescent="0.4">
      <c r="A180" s="2">
        <f>74.16*(100000)</f>
        <v>7416000</v>
      </c>
      <c r="B180">
        <f t="shared" si="6"/>
        <v>6.870169721136441</v>
      </c>
      <c r="E180" s="2">
        <v>23376100</v>
      </c>
      <c r="F180">
        <f t="shared" si="7"/>
        <v>7.3687720564510748</v>
      </c>
      <c r="H180">
        <v>41062700</v>
      </c>
      <c r="I180">
        <f t="shared" si="8"/>
        <v>7.6134475021838526</v>
      </c>
    </row>
    <row r="181" spans="1:9" x14ac:dyDescent="0.4">
      <c r="A181" s="2">
        <f>123.23*(100000)</f>
        <v>12323000</v>
      </c>
      <c r="B181">
        <f t="shared" si="6"/>
        <v>7.0907164484810989</v>
      </c>
      <c r="E181" s="2">
        <v>22353500</v>
      </c>
      <c r="F181">
        <f t="shared" si="7"/>
        <v>7.3493455324648691</v>
      </c>
      <c r="H181">
        <v>15510400</v>
      </c>
      <c r="I181">
        <f t="shared" si="8"/>
        <v>7.1906229980426648</v>
      </c>
    </row>
    <row r="182" spans="1:9" x14ac:dyDescent="0.4">
      <c r="A182" s="2">
        <f>1536.06*(100000)</f>
        <v>153606000</v>
      </c>
      <c r="B182">
        <f t="shared" si="6"/>
        <v>8.1864081799923607</v>
      </c>
      <c r="E182" s="2">
        <v>27583300</v>
      </c>
      <c r="F182">
        <f t="shared" si="7"/>
        <v>7.4406462229006083</v>
      </c>
      <c r="H182">
        <v>104548100</v>
      </c>
      <c r="I182">
        <f t="shared" si="8"/>
        <v>8.0193161445949759</v>
      </c>
    </row>
    <row r="183" spans="1:9" x14ac:dyDescent="0.4">
      <c r="A183" s="2">
        <f>2038.33*(100000)</f>
        <v>203833000</v>
      </c>
      <c r="B183">
        <f t="shared" si="6"/>
        <v>8.3092744964403167</v>
      </c>
      <c r="E183" s="2">
        <v>67842500</v>
      </c>
      <c r="F183">
        <f t="shared" si="7"/>
        <v>7.831501843319999</v>
      </c>
      <c r="H183">
        <v>28811000</v>
      </c>
      <c r="I183">
        <f t="shared" si="8"/>
        <v>7.4595583324541321</v>
      </c>
    </row>
    <row r="184" spans="1:9" x14ac:dyDescent="0.4">
      <c r="A184" s="2">
        <f>626.45*(100000)</f>
        <v>62645000.000000007</v>
      </c>
      <c r="B184">
        <f t="shared" si="6"/>
        <v>7.7968864135733442</v>
      </c>
      <c r="E184" s="2">
        <v>68897400</v>
      </c>
      <c r="F184">
        <f t="shared" si="7"/>
        <v>7.8382028331273865</v>
      </c>
      <c r="H184">
        <v>85535000</v>
      </c>
      <c r="I184">
        <f t="shared" si="8"/>
        <v>7.9321438597169616</v>
      </c>
    </row>
    <row r="185" spans="1:9" x14ac:dyDescent="0.4">
      <c r="A185" s="2">
        <f>1755.95*(100000)</f>
        <v>175595000</v>
      </c>
      <c r="B185">
        <f t="shared" si="6"/>
        <v>8.2445121453780263</v>
      </c>
      <c r="E185" s="2">
        <v>72624100</v>
      </c>
      <c r="F185">
        <f t="shared" si="7"/>
        <v>7.8610807634024402</v>
      </c>
      <c r="H185">
        <v>71742000</v>
      </c>
      <c r="I185">
        <f t="shared" si="8"/>
        <v>7.8557734796281631</v>
      </c>
    </row>
    <row r="186" spans="1:9" x14ac:dyDescent="0.4">
      <c r="A186" s="2">
        <f>525.26*(100000)</f>
        <v>52526000</v>
      </c>
      <c r="B186">
        <f t="shared" si="6"/>
        <v>7.7203743293378242</v>
      </c>
      <c r="E186" s="2">
        <v>230904000</v>
      </c>
      <c r="F186">
        <f t="shared" si="7"/>
        <v>8.3634314563597094</v>
      </c>
      <c r="H186">
        <v>319317000</v>
      </c>
      <c r="I186">
        <f t="shared" si="8"/>
        <v>8.5042220403986946</v>
      </c>
    </row>
    <row r="187" spans="1:9" x14ac:dyDescent="0.4">
      <c r="A187" s="2">
        <f>324.36*(100000)</f>
        <v>32436000</v>
      </c>
      <c r="B187">
        <f t="shared" si="6"/>
        <v>7.5110272917463501</v>
      </c>
      <c r="E187" s="2">
        <v>173112000</v>
      </c>
      <c r="F187">
        <f t="shared" si="7"/>
        <v>8.2383271739016717</v>
      </c>
      <c r="H187">
        <v>117599000</v>
      </c>
      <c r="I187">
        <f t="shared" si="8"/>
        <v>8.0704036287441294</v>
      </c>
    </row>
    <row r="188" spans="1:9" x14ac:dyDescent="0.4">
      <c r="A188" s="2">
        <f>242.93*(100000)</f>
        <v>24293000</v>
      </c>
      <c r="B188">
        <f t="shared" si="6"/>
        <v>7.3854811501692446</v>
      </c>
      <c r="E188" s="2">
        <v>92683000</v>
      </c>
      <c r="F188">
        <f t="shared" si="7"/>
        <v>7.9670000827610039</v>
      </c>
      <c r="H188">
        <v>63112700</v>
      </c>
      <c r="I188">
        <f t="shared" si="8"/>
        <v>7.8001167599564045</v>
      </c>
    </row>
    <row r="189" spans="1:9" x14ac:dyDescent="0.4">
      <c r="A189" s="2">
        <f>354.78*(100000)</f>
        <v>35478000</v>
      </c>
      <c r="B189">
        <f t="shared" si="6"/>
        <v>7.5499591293827493</v>
      </c>
      <c r="E189" s="2">
        <v>78096000</v>
      </c>
      <c r="F189">
        <f t="shared" si="7"/>
        <v>7.8926287903124459</v>
      </c>
      <c r="H189">
        <v>1228900</v>
      </c>
      <c r="I189">
        <f t="shared" si="8"/>
        <v>6.0895165442248205</v>
      </c>
    </row>
    <row r="190" spans="1:9" x14ac:dyDescent="0.4">
      <c r="A190" s="2">
        <f>345.04*(100000)</f>
        <v>34504000</v>
      </c>
      <c r="B190">
        <f t="shared" si="6"/>
        <v>7.5378694451378951</v>
      </c>
      <c r="E190" s="2">
        <v>73687200</v>
      </c>
      <c r="F190">
        <f t="shared" si="7"/>
        <v>7.8673920543155367</v>
      </c>
      <c r="H190">
        <v>27797200</v>
      </c>
      <c r="I190">
        <f t="shared" si="8"/>
        <v>7.4440010518248361</v>
      </c>
    </row>
    <row r="191" spans="1:9" x14ac:dyDescent="0.4">
      <c r="A191" s="2">
        <f>1064.74*(100000)</f>
        <v>106474000</v>
      </c>
      <c r="B191">
        <f t="shared" si="6"/>
        <v>8.0272435698866982</v>
      </c>
      <c r="E191" s="2">
        <v>65193200.000000007</v>
      </c>
      <c r="F191">
        <f t="shared" si="7"/>
        <v>7.8142022988532549</v>
      </c>
      <c r="H191">
        <v>62174700</v>
      </c>
      <c r="I191">
        <f t="shared" si="8"/>
        <v>7.7936136984267517</v>
      </c>
    </row>
    <row r="192" spans="1:9" x14ac:dyDescent="0.4">
      <c r="A192" s="2">
        <f>2192.99*(100000)</f>
        <v>219298999.99999997</v>
      </c>
      <c r="B192">
        <f t="shared" si="6"/>
        <v>8.3410366513060126</v>
      </c>
      <c r="E192" s="2">
        <v>81856200</v>
      </c>
      <c r="F192">
        <f t="shared" si="7"/>
        <v>7.9130515795795056</v>
      </c>
      <c r="H192">
        <v>70963999.99999997</v>
      </c>
      <c r="I192">
        <f t="shared" si="8"/>
        <v>7.8510380872206156</v>
      </c>
    </row>
    <row r="193" spans="1:9" x14ac:dyDescent="0.4">
      <c r="A193" s="2">
        <f>569.12*(100000)</f>
        <v>56912000</v>
      </c>
      <c r="B193">
        <f t="shared" si="6"/>
        <v>7.7552038478417051</v>
      </c>
      <c r="E193" s="2">
        <v>209583000</v>
      </c>
      <c r="F193">
        <f t="shared" si="7"/>
        <v>8.3213560526169612</v>
      </c>
      <c r="H193">
        <v>260356000</v>
      </c>
      <c r="I193">
        <f t="shared" si="8"/>
        <v>8.4155675906034748</v>
      </c>
    </row>
    <row r="194" spans="1:9" x14ac:dyDescent="0.4">
      <c r="A194" s="2">
        <f>331.98*(100000)</f>
        <v>33198000</v>
      </c>
      <c r="B194">
        <f t="shared" si="6"/>
        <v>7.5211119205977957</v>
      </c>
      <c r="E194" s="2">
        <v>154499000</v>
      </c>
      <c r="F194">
        <f t="shared" si="7"/>
        <v>8.1889256727842366</v>
      </c>
      <c r="H194">
        <v>111709000</v>
      </c>
      <c r="I194">
        <f t="shared" si="8"/>
        <v>8.0480881640993136</v>
      </c>
    </row>
    <row r="195" spans="1:9" x14ac:dyDescent="0.4">
      <c r="A195" s="2">
        <f>240.02*(100000)</f>
        <v>24002000</v>
      </c>
      <c r="B195">
        <f t="shared" ref="B195:B258" si="9">LOG(A195)</f>
        <v>7.380247431410548</v>
      </c>
      <c r="E195" s="2">
        <v>112384000</v>
      </c>
      <c r="F195">
        <f t="shared" ref="F195:F258" si="10">LOG(E195)</f>
        <v>8.0507044855539718</v>
      </c>
      <c r="H195">
        <v>158802000</v>
      </c>
      <c r="I195">
        <f t="shared" ref="I195:I258" si="11">LOG(H195)</f>
        <v>8.200855967760436</v>
      </c>
    </row>
    <row r="196" spans="1:9" x14ac:dyDescent="0.4">
      <c r="A196" s="2">
        <f>189.17*(100000)</f>
        <v>18917000</v>
      </c>
      <c r="B196">
        <f t="shared" si="9"/>
        <v>7.2768522638442743</v>
      </c>
      <c r="E196" s="2">
        <v>102597000</v>
      </c>
      <c r="F196">
        <f t="shared" si="10"/>
        <v>8.0111346619210799</v>
      </c>
      <c r="H196">
        <v>71030200</v>
      </c>
      <c r="I196">
        <f t="shared" si="11"/>
        <v>7.8514430375183748</v>
      </c>
    </row>
    <row r="197" spans="1:9" x14ac:dyDescent="0.4">
      <c r="A197" s="2">
        <f>152.88*(100000)</f>
        <v>15288000</v>
      </c>
      <c r="B197">
        <f t="shared" si="9"/>
        <v>7.1843506740469563</v>
      </c>
      <c r="E197" s="2">
        <v>87174400</v>
      </c>
      <c r="F197">
        <f t="shared" si="10"/>
        <v>7.9403889669159708</v>
      </c>
      <c r="H197">
        <v>23147300</v>
      </c>
      <c r="I197">
        <f t="shared" si="11"/>
        <v>7.3645003403437457</v>
      </c>
    </row>
    <row r="198" spans="1:9" x14ac:dyDescent="0.4">
      <c r="A198" s="2">
        <f>132.65*(100000)</f>
        <v>13265000</v>
      </c>
      <c r="B198">
        <f t="shared" si="9"/>
        <v>7.1227072543183478</v>
      </c>
      <c r="E198" s="2">
        <v>72589700</v>
      </c>
      <c r="F198">
        <f t="shared" si="10"/>
        <v>7.8608750015470665</v>
      </c>
      <c r="H198">
        <v>12819100</v>
      </c>
      <c r="I198">
        <f t="shared" si="11"/>
        <v>7.1078575354203757</v>
      </c>
    </row>
    <row r="199" spans="1:9" x14ac:dyDescent="0.4">
      <c r="A199" s="2">
        <f>114.68*(100000)</f>
        <v>11468000</v>
      </c>
      <c r="B199">
        <f t="shared" si="9"/>
        <v>7.0594876842744467</v>
      </c>
      <c r="E199" s="2">
        <v>58841400</v>
      </c>
      <c r="F199">
        <f t="shared" si="10"/>
        <v>7.7696829972479033</v>
      </c>
      <c r="H199">
        <v>2696180</v>
      </c>
      <c r="I199">
        <f t="shared" si="11"/>
        <v>6.4307488828177428</v>
      </c>
    </row>
    <row r="200" spans="1:9" x14ac:dyDescent="0.4">
      <c r="A200" s="2">
        <f>110.15*(100000)</f>
        <v>11015000</v>
      </c>
      <c r="B200">
        <f t="shared" si="9"/>
        <v>7.0419845014867866</v>
      </c>
      <c r="E200" s="2">
        <v>47219500</v>
      </c>
      <c r="F200">
        <f t="shared" si="10"/>
        <v>7.6741213840897942</v>
      </c>
      <c r="H200">
        <v>7024580</v>
      </c>
      <c r="I200">
        <f t="shared" si="11"/>
        <v>6.8466203628639137</v>
      </c>
    </row>
    <row r="201" spans="1:9" x14ac:dyDescent="0.4">
      <c r="A201" s="2">
        <f>118.63*(100000)</f>
        <v>11863000</v>
      </c>
      <c r="B201">
        <f t="shared" si="9"/>
        <v>7.0741945304018188</v>
      </c>
      <c r="E201" s="2">
        <v>38248600</v>
      </c>
      <c r="F201">
        <f t="shared" si="10"/>
        <v>7.5826155434529836</v>
      </c>
      <c r="H201">
        <v>7016380</v>
      </c>
      <c r="I201">
        <f t="shared" si="11"/>
        <v>6.8461131019420867</v>
      </c>
    </row>
    <row r="202" spans="1:9" x14ac:dyDescent="0.4">
      <c r="A202" s="2">
        <f>113.13*(100000)</f>
        <v>11313000</v>
      </c>
      <c r="B202">
        <f t="shared" si="9"/>
        <v>7.0535777871252829</v>
      </c>
      <c r="E202" s="2">
        <v>36543400</v>
      </c>
      <c r="F202">
        <f t="shared" si="10"/>
        <v>7.5628089516794859</v>
      </c>
      <c r="H202">
        <v>19513800</v>
      </c>
      <c r="I202">
        <f t="shared" si="11"/>
        <v>7.2903418495244106</v>
      </c>
    </row>
    <row r="203" spans="1:9" x14ac:dyDescent="0.4">
      <c r="A203" s="2">
        <f>92.41*(100000)</f>
        <v>9241000</v>
      </c>
      <c r="B203">
        <f t="shared" si="9"/>
        <v>6.9657189702442208</v>
      </c>
      <c r="E203" s="2">
        <v>30910100</v>
      </c>
      <c r="F203">
        <f t="shared" si="10"/>
        <v>7.4901004100900908</v>
      </c>
      <c r="H203">
        <v>2396600</v>
      </c>
      <c r="I203">
        <f t="shared" si="11"/>
        <v>6.3795955549810985</v>
      </c>
    </row>
    <row r="204" spans="1:9" x14ac:dyDescent="0.4">
      <c r="A204" s="2">
        <f>87.67*(100000)</f>
        <v>8767000</v>
      </c>
      <c r="B204">
        <f t="shared" si="9"/>
        <v>6.9428510065543376</v>
      </c>
      <c r="E204" s="2">
        <v>25315900</v>
      </c>
      <c r="F204">
        <f t="shared" si="10"/>
        <v>7.4033933715050386</v>
      </c>
      <c r="H204">
        <v>4154010</v>
      </c>
      <c r="I204">
        <f t="shared" si="11"/>
        <v>6.6184675376828528</v>
      </c>
    </row>
    <row r="205" spans="1:9" x14ac:dyDescent="0.4">
      <c r="A205" s="2">
        <f>72.98*(100000)</f>
        <v>7298000</v>
      </c>
      <c r="B205">
        <f t="shared" si="9"/>
        <v>6.8632038590286291</v>
      </c>
      <c r="E205" s="2">
        <v>20168200</v>
      </c>
      <c r="F205">
        <f t="shared" si="10"/>
        <v>7.3046671394150033</v>
      </c>
      <c r="H205">
        <v>5263350</v>
      </c>
      <c r="I205">
        <f t="shared" si="11"/>
        <v>6.7212622505064727</v>
      </c>
    </row>
    <row r="206" spans="1:9" x14ac:dyDescent="0.4">
      <c r="A206" s="2">
        <f>79.96*(100000)</f>
        <v>7995999.9999999991</v>
      </c>
      <c r="B206">
        <f t="shared" si="9"/>
        <v>6.9028727854460792</v>
      </c>
      <c r="E206" s="2">
        <v>15821700</v>
      </c>
      <c r="F206">
        <f t="shared" si="10"/>
        <v>7.1992531454671944</v>
      </c>
      <c r="H206">
        <v>7064650.9999999991</v>
      </c>
      <c r="I206">
        <f t="shared" si="11"/>
        <v>6.8490907121834539</v>
      </c>
    </row>
    <row r="207" spans="1:9" x14ac:dyDescent="0.4">
      <c r="A207" s="2">
        <f>96.17*(100000)</f>
        <v>9617000</v>
      </c>
      <c r="B207">
        <f t="shared" si="9"/>
        <v>6.9830396160461019</v>
      </c>
      <c r="E207" s="2">
        <v>12405700</v>
      </c>
      <c r="F207">
        <f t="shared" si="10"/>
        <v>7.0936212746590375</v>
      </c>
      <c r="H207">
        <v>8438160</v>
      </c>
      <c r="I207">
        <f t="shared" si="11"/>
        <v>6.9262477559899613</v>
      </c>
    </row>
    <row r="208" spans="1:9" x14ac:dyDescent="0.4">
      <c r="A208" s="2">
        <f>87.64*(100000)</f>
        <v>8764000</v>
      </c>
      <c r="B208">
        <f t="shared" si="9"/>
        <v>6.9427023688886678</v>
      </c>
      <c r="E208" s="2">
        <v>9515920</v>
      </c>
      <c r="F208">
        <f t="shared" si="10"/>
        <v>6.9784507822823585</v>
      </c>
      <c r="H208">
        <v>8335917</v>
      </c>
      <c r="I208">
        <f t="shared" si="11"/>
        <v>6.9209533817446225</v>
      </c>
    </row>
    <row r="209" spans="1:9" x14ac:dyDescent="0.4">
      <c r="A209" s="2">
        <f>68.05*(100000)</f>
        <v>6805000</v>
      </c>
      <c r="B209">
        <f t="shared" si="9"/>
        <v>6.8328281295393536</v>
      </c>
      <c r="E209" s="2">
        <v>7297090</v>
      </c>
      <c r="F209">
        <f t="shared" si="10"/>
        <v>6.8631497027364734</v>
      </c>
      <c r="H209">
        <v>5866502</v>
      </c>
      <c r="I209">
        <f t="shared" si="11"/>
        <v>6.7683792230669297</v>
      </c>
    </row>
    <row r="210" spans="1:9" x14ac:dyDescent="0.4">
      <c r="A210" s="2">
        <f>57.74*(100000)</f>
        <v>5774000</v>
      </c>
      <c r="B210">
        <f t="shared" si="9"/>
        <v>6.7614767795447017</v>
      </c>
      <c r="E210" s="2">
        <v>5398350</v>
      </c>
      <c r="F210">
        <f t="shared" si="10"/>
        <v>6.732261038453367</v>
      </c>
      <c r="H210">
        <v>5461803</v>
      </c>
      <c r="I210">
        <f t="shared" si="11"/>
        <v>6.7373360316594706</v>
      </c>
    </row>
    <row r="211" spans="1:9" x14ac:dyDescent="0.4">
      <c r="A211" s="2">
        <f>50.59*(100000)</f>
        <v>5059000</v>
      </c>
      <c r="B211">
        <f t="shared" si="9"/>
        <v>6.7040646794085674</v>
      </c>
      <c r="E211" s="2">
        <v>4095410</v>
      </c>
      <c r="F211">
        <f t="shared" si="10"/>
        <v>6.6122973863954035</v>
      </c>
      <c r="H211">
        <v>4921107</v>
      </c>
      <c r="I211">
        <f t="shared" si="11"/>
        <v>6.6920628080343585</v>
      </c>
    </row>
    <row r="212" spans="1:9" x14ac:dyDescent="0.4">
      <c r="A212" s="2">
        <f>53.31*(100000)</f>
        <v>5331000</v>
      </c>
      <c r="B212">
        <f t="shared" si="9"/>
        <v>6.7268086825249638</v>
      </c>
      <c r="E212" s="2">
        <v>3283130</v>
      </c>
      <c r="F212">
        <f t="shared" si="10"/>
        <v>6.5162880795508027</v>
      </c>
      <c r="H212">
        <v>5267957.5</v>
      </c>
      <c r="I212">
        <f t="shared" si="11"/>
        <v>6.7216422625710797</v>
      </c>
    </row>
    <row r="213" spans="1:9" x14ac:dyDescent="0.4">
      <c r="A213" s="2">
        <f>50.23*(100000)</f>
        <v>5023000</v>
      </c>
      <c r="B213">
        <f t="shared" si="9"/>
        <v>6.7009631781595491</v>
      </c>
      <c r="E213" s="2">
        <v>2691210</v>
      </c>
      <c r="F213">
        <f t="shared" si="10"/>
        <v>6.4299475878725563</v>
      </c>
      <c r="H213">
        <v>4993466.7</v>
      </c>
      <c r="I213">
        <f t="shared" si="11"/>
        <v>6.6984021580364264</v>
      </c>
    </row>
    <row r="214" spans="1:9" x14ac:dyDescent="0.4">
      <c r="A214" s="2">
        <f>46.6*(100000)</f>
        <v>4660000</v>
      </c>
      <c r="B214">
        <f t="shared" si="9"/>
        <v>6.6683859166900001</v>
      </c>
      <c r="E214" s="2">
        <v>2225700</v>
      </c>
      <c r="F214">
        <f t="shared" si="10"/>
        <v>6.3474666258006218</v>
      </c>
      <c r="H214">
        <v>4645935.9000000004</v>
      </c>
      <c r="I214">
        <f t="shared" si="11"/>
        <v>6.6670732135424924</v>
      </c>
    </row>
    <row r="215" spans="1:9" x14ac:dyDescent="0.4">
      <c r="A215" s="2">
        <f>43.24*(100000)</f>
        <v>4324000</v>
      </c>
      <c r="B215">
        <f t="shared" si="9"/>
        <v>6.6358856852812727</v>
      </c>
      <c r="E215" s="2">
        <v>1842930</v>
      </c>
      <c r="F215">
        <f t="shared" si="10"/>
        <v>6.265508839727441</v>
      </c>
      <c r="H215">
        <v>4317230.79</v>
      </c>
      <c r="I215">
        <f t="shared" si="11"/>
        <v>6.6352052657385858</v>
      </c>
    </row>
    <row r="216" spans="1:9" x14ac:dyDescent="0.4">
      <c r="A216" s="2">
        <f>39.77*(100000)</f>
        <v>3977000.0000000005</v>
      </c>
      <c r="B216">
        <f t="shared" si="9"/>
        <v>6.5995555909859807</v>
      </c>
      <c r="E216" s="2">
        <v>1526010</v>
      </c>
      <c r="F216">
        <f t="shared" si="10"/>
        <v>6.1835573795759977</v>
      </c>
      <c r="H216">
        <v>3973719.7400000007</v>
      </c>
      <c r="I216">
        <f t="shared" si="11"/>
        <v>6.5991972337693703</v>
      </c>
    </row>
    <row r="217" spans="1:9" x14ac:dyDescent="0.4">
      <c r="A217" s="2">
        <f>38.98*(100000)</f>
        <v>3897999.9999999995</v>
      </c>
      <c r="B217">
        <f t="shared" si="9"/>
        <v>6.5908418347816022</v>
      </c>
      <c r="E217" s="2">
        <v>1571260</v>
      </c>
      <c r="F217">
        <f t="shared" si="10"/>
        <v>6.196248054691468</v>
      </c>
      <c r="H217">
        <v>2407629.9999999995</v>
      </c>
      <c r="I217">
        <f t="shared" si="11"/>
        <v>6.3815897461635034</v>
      </c>
    </row>
    <row r="218" spans="1:9" x14ac:dyDescent="0.4">
      <c r="A218" s="2">
        <f>36.46*(100000)</f>
        <v>3646000</v>
      </c>
      <c r="B218">
        <f t="shared" si="9"/>
        <v>6.5618166643189575</v>
      </c>
      <c r="E218" s="2">
        <v>1375990</v>
      </c>
      <c r="F218">
        <f t="shared" si="10"/>
        <v>6.1386152776781264</v>
      </c>
      <c r="H218">
        <v>3201670</v>
      </c>
      <c r="I218">
        <f t="shared" si="11"/>
        <v>6.5053765666324024</v>
      </c>
    </row>
    <row r="219" spans="1:9" x14ac:dyDescent="0.4">
      <c r="A219" s="2">
        <f>34.94*(100000)</f>
        <v>3494000</v>
      </c>
      <c r="B219">
        <f t="shared" si="9"/>
        <v>6.5433229006469125</v>
      </c>
      <c r="E219" s="2">
        <v>1058900</v>
      </c>
      <c r="F219">
        <f t="shared" si="10"/>
        <v>6.024854948305018</v>
      </c>
      <c r="H219">
        <v>3303630</v>
      </c>
      <c r="I219">
        <f t="shared" si="11"/>
        <v>6.5189914012523431</v>
      </c>
    </row>
    <row r="220" spans="1:9" x14ac:dyDescent="0.4">
      <c r="A220" s="2">
        <f>40.68*(100000)</f>
        <v>4068000</v>
      </c>
      <c r="B220">
        <f t="shared" si="9"/>
        <v>6.6093809442507068</v>
      </c>
      <c r="E220" s="2">
        <v>848421</v>
      </c>
      <c r="F220">
        <f t="shared" si="10"/>
        <v>5.9286114095748967</v>
      </c>
      <c r="H220">
        <v>3982924.1</v>
      </c>
      <c r="I220">
        <f t="shared" si="11"/>
        <v>6.6002020304200606</v>
      </c>
    </row>
    <row r="221" spans="1:9" x14ac:dyDescent="0.4">
      <c r="A221" s="2">
        <f>46.25*(100000)</f>
        <v>4625000</v>
      </c>
      <c r="B221">
        <f t="shared" si="9"/>
        <v>6.6651117370750512</v>
      </c>
      <c r="E221" s="2">
        <v>693832</v>
      </c>
      <c r="F221">
        <f t="shared" si="10"/>
        <v>5.8412543259224963</v>
      </c>
      <c r="H221">
        <v>4585774.4000000004</v>
      </c>
      <c r="I221">
        <f t="shared" si="11"/>
        <v>6.661412685534545</v>
      </c>
    </row>
    <row r="222" spans="1:9" x14ac:dyDescent="0.4">
      <c r="A222" s="2">
        <f>139.38*(100000)</f>
        <v>13938000</v>
      </c>
      <c r="B222">
        <f t="shared" si="9"/>
        <v>7.1442004601838791</v>
      </c>
      <c r="E222" s="2">
        <v>1342740</v>
      </c>
      <c r="F222">
        <f t="shared" si="10"/>
        <v>6.1279919266695888</v>
      </c>
      <c r="H222">
        <v>10197590</v>
      </c>
      <c r="I222">
        <f t="shared" si="11"/>
        <v>7.0084975469218014</v>
      </c>
    </row>
    <row r="223" spans="1:9" x14ac:dyDescent="0.4">
      <c r="A223" s="2">
        <f>181.57*(100000)</f>
        <v>18157000</v>
      </c>
      <c r="B223">
        <f t="shared" si="9"/>
        <v>7.2590440935752323</v>
      </c>
      <c r="E223" s="2">
        <v>14095500</v>
      </c>
      <c r="F223">
        <f t="shared" si="10"/>
        <v>7.1490804859110302</v>
      </c>
      <c r="H223">
        <v>44760100</v>
      </c>
      <c r="I223">
        <f t="shared" si="11"/>
        <v>7.6508910481288703</v>
      </c>
    </row>
    <row r="224" spans="1:9" x14ac:dyDescent="0.4">
      <c r="A224" s="2">
        <f>64.51*(100000)</f>
        <v>6451000.0000000009</v>
      </c>
      <c r="B224">
        <f t="shared" si="9"/>
        <v>6.8096270418940499</v>
      </c>
      <c r="E224" s="2">
        <v>21299800</v>
      </c>
      <c r="F224">
        <f t="shared" si="10"/>
        <v>7.3283755255371332</v>
      </c>
      <c r="H224">
        <v>49267700</v>
      </c>
      <c r="I224">
        <f t="shared" si="11"/>
        <v>7.6925622882618452</v>
      </c>
    </row>
    <row r="225" spans="1:9" x14ac:dyDescent="0.4">
      <c r="A225" s="2">
        <f>55.78*(100000)</f>
        <v>5578000</v>
      </c>
      <c r="B225">
        <f t="shared" si="9"/>
        <v>6.7464785099300313</v>
      </c>
      <c r="E225" s="2">
        <v>20459300</v>
      </c>
      <c r="F225">
        <f t="shared" si="10"/>
        <v>7.3108907705619703</v>
      </c>
      <c r="H225">
        <v>17268400</v>
      </c>
      <c r="I225">
        <f t="shared" si="11"/>
        <v>7.2372520999669012</v>
      </c>
    </row>
    <row r="226" spans="1:9" x14ac:dyDescent="0.4">
      <c r="A226" s="2">
        <f>44.65*(100000)</f>
        <v>4465000</v>
      </c>
      <c r="B226">
        <f t="shared" si="9"/>
        <v>6.6498214632245656</v>
      </c>
      <c r="E226" s="2">
        <v>17388800</v>
      </c>
      <c r="F226">
        <f t="shared" si="10"/>
        <v>7.2402696124017778</v>
      </c>
      <c r="H226">
        <v>4477260</v>
      </c>
      <c r="I226">
        <f t="shared" si="11"/>
        <v>6.651012315130961</v>
      </c>
    </row>
    <row r="227" spans="1:9" x14ac:dyDescent="0.4">
      <c r="A227" s="2">
        <f>39.35*(100000)</f>
        <v>3935000</v>
      </c>
      <c r="B227">
        <f t="shared" si="9"/>
        <v>6.5949447366950835</v>
      </c>
      <c r="E227" s="2">
        <v>13876500</v>
      </c>
      <c r="F227">
        <f t="shared" si="10"/>
        <v>7.1422799400118189</v>
      </c>
      <c r="H227">
        <v>24410</v>
      </c>
      <c r="I227">
        <f t="shared" si="11"/>
        <v>4.3875677794171883</v>
      </c>
    </row>
    <row r="228" spans="1:9" x14ac:dyDescent="0.4">
      <c r="A228" s="2">
        <f>35.6*(100000)</f>
        <v>3560000</v>
      </c>
      <c r="B228">
        <f t="shared" si="9"/>
        <v>6.5514499979728749</v>
      </c>
      <c r="E228" s="2">
        <v>10730900</v>
      </c>
      <c r="F228">
        <f t="shared" si="10"/>
        <v>7.0306361477480888</v>
      </c>
      <c r="H228">
        <v>1794910</v>
      </c>
      <c r="I228">
        <f t="shared" si="11"/>
        <v>6.2540426771576314</v>
      </c>
    </row>
    <row r="229" spans="1:9" x14ac:dyDescent="0.4">
      <c r="A229" s="2">
        <f>35.77*(100000)</f>
        <v>3577000.0000000005</v>
      </c>
      <c r="B229">
        <f t="shared" si="9"/>
        <v>6.5535189401489697</v>
      </c>
      <c r="E229" s="2">
        <v>8107419.9999999991</v>
      </c>
      <c r="F229">
        <f t="shared" si="10"/>
        <v>6.9088826719635774</v>
      </c>
      <c r="H229">
        <v>2744218.0000000005</v>
      </c>
      <c r="I229">
        <f t="shared" si="11"/>
        <v>6.4384186086514887</v>
      </c>
    </row>
    <row r="230" spans="1:9" x14ac:dyDescent="0.4">
      <c r="A230" s="2">
        <f>70.19*(100000)</f>
        <v>7019000</v>
      </c>
      <c r="B230">
        <f t="shared" si="9"/>
        <v>6.8462752424122133</v>
      </c>
      <c r="E230" s="2">
        <v>5968980</v>
      </c>
      <c r="F230">
        <f t="shared" si="10"/>
        <v>6.7759001237226029</v>
      </c>
      <c r="H230">
        <v>6624543</v>
      </c>
      <c r="I230">
        <f t="shared" si="11"/>
        <v>6.821155923450509</v>
      </c>
    </row>
    <row r="231" spans="1:9" x14ac:dyDescent="0.4">
      <c r="A231" s="2">
        <f>62.38*(100000)</f>
        <v>6238000</v>
      </c>
      <c r="B231">
        <f t="shared" si="9"/>
        <v>6.7950453704211249</v>
      </c>
      <c r="E231" s="2">
        <v>9811170</v>
      </c>
      <c r="F231">
        <f t="shared" si="10"/>
        <v>6.9917208008809917</v>
      </c>
      <c r="H231">
        <v>20749100</v>
      </c>
      <c r="I231">
        <f t="shared" si="11"/>
        <v>7.3169992637704944</v>
      </c>
    </row>
    <row r="232" spans="1:9" x14ac:dyDescent="0.4">
      <c r="A232" s="2">
        <f>47.33*(100000)</f>
        <v>4733000</v>
      </c>
      <c r="B232">
        <f t="shared" si="9"/>
        <v>6.6751365044679938</v>
      </c>
      <c r="E232" s="2">
        <v>9505410</v>
      </c>
      <c r="F232">
        <f t="shared" si="10"/>
        <v>6.9779708541733028</v>
      </c>
      <c r="H232">
        <v>10407500</v>
      </c>
      <c r="I232">
        <f t="shared" si="11"/>
        <v>7.0173464195588151</v>
      </c>
    </row>
    <row r="233" spans="1:9" x14ac:dyDescent="0.4">
      <c r="A233" s="2">
        <f>35.87*(100000)</f>
        <v>3586999.9999999995</v>
      </c>
      <c r="B233">
        <f t="shared" si="9"/>
        <v>6.5547313766759663</v>
      </c>
      <c r="E233" s="2">
        <v>8026759.9999999991</v>
      </c>
      <c r="F233">
        <f t="shared" si="10"/>
        <v>6.9045402777726004</v>
      </c>
      <c r="H233">
        <v>527750.00000000047</v>
      </c>
      <c r="I233">
        <f t="shared" si="11"/>
        <v>5.7224282419796948</v>
      </c>
    </row>
    <row r="234" spans="1:9" x14ac:dyDescent="0.4">
      <c r="A234" s="2">
        <f>36.25*(100000)</f>
        <v>3625000</v>
      </c>
      <c r="B234">
        <f t="shared" si="9"/>
        <v>6.5593080109070128</v>
      </c>
      <c r="E234" s="2">
        <v>6175780</v>
      </c>
      <c r="F234">
        <f t="shared" si="10"/>
        <v>6.7906918167176089</v>
      </c>
      <c r="H234">
        <v>1825730</v>
      </c>
      <c r="I234">
        <f t="shared" si="11"/>
        <v>6.2614365518509585</v>
      </c>
    </row>
    <row r="235" spans="1:9" x14ac:dyDescent="0.4">
      <c r="A235" s="2">
        <f>33.13*(100000)</f>
        <v>3313000.0000000005</v>
      </c>
      <c r="B235">
        <f t="shared" si="9"/>
        <v>6.5202214358819601</v>
      </c>
      <c r="E235" s="2">
        <v>4809220</v>
      </c>
      <c r="F235">
        <f t="shared" si="10"/>
        <v>6.682074644530787</v>
      </c>
      <c r="H235">
        <v>1010700.0000000005</v>
      </c>
      <c r="I235">
        <f t="shared" si="11"/>
        <v>6.0046222657007826</v>
      </c>
    </row>
    <row r="236" spans="1:9" x14ac:dyDescent="0.4">
      <c r="A236" s="2">
        <f>36.21*(100000)</f>
        <v>3621000</v>
      </c>
      <c r="B236">
        <f t="shared" si="9"/>
        <v>6.5588285248170113</v>
      </c>
      <c r="E236" s="2">
        <v>3661100</v>
      </c>
      <c r="F236">
        <f t="shared" si="10"/>
        <v>6.5636115914477875</v>
      </c>
      <c r="H236">
        <v>2799251</v>
      </c>
      <c r="I236">
        <f t="shared" si="11"/>
        <v>6.4470418420272964</v>
      </c>
    </row>
    <row r="237" spans="1:9" x14ac:dyDescent="0.4">
      <c r="A237" s="2">
        <f>35.7*(100000)</f>
        <v>3570000.0000000005</v>
      </c>
      <c r="B237">
        <f t="shared" si="9"/>
        <v>6.5526682161121936</v>
      </c>
      <c r="E237" s="2">
        <v>2843410</v>
      </c>
      <c r="F237">
        <f t="shared" si="10"/>
        <v>6.4538394864577304</v>
      </c>
      <c r="H237">
        <v>3195937.0000000005</v>
      </c>
      <c r="I237">
        <f t="shared" si="11"/>
        <v>6.5045982096838717</v>
      </c>
    </row>
    <row r="238" spans="1:9" x14ac:dyDescent="0.4">
      <c r="A238" s="2">
        <f>51.42*(100000)</f>
        <v>5142000</v>
      </c>
      <c r="B238">
        <f t="shared" si="9"/>
        <v>6.7111320723068415</v>
      </c>
      <c r="E238" s="2">
        <v>2301790</v>
      </c>
      <c r="F238">
        <f t="shared" si="10"/>
        <v>6.3620656989630184</v>
      </c>
      <c r="H238">
        <v>4968754</v>
      </c>
      <c r="I238">
        <f t="shared" si="11"/>
        <v>6.6962474956211198</v>
      </c>
    </row>
    <row r="239" spans="1:9" x14ac:dyDescent="0.4">
      <c r="A239" s="2">
        <f>39.61*(100000)</f>
        <v>3961000</v>
      </c>
      <c r="B239">
        <f t="shared" si="9"/>
        <v>6.597804842404293</v>
      </c>
      <c r="E239" s="2">
        <v>1893030</v>
      </c>
      <c r="F239">
        <f t="shared" si="10"/>
        <v>6.277157496547642</v>
      </c>
      <c r="H239">
        <v>3879122.5</v>
      </c>
      <c r="I239">
        <f t="shared" si="11"/>
        <v>6.5887334945353482</v>
      </c>
    </row>
    <row r="240" spans="1:9" x14ac:dyDescent="0.4">
      <c r="A240" s="2">
        <f>43.16*(100000)</f>
        <v>4316000</v>
      </c>
      <c r="B240">
        <f t="shared" si="9"/>
        <v>6.6350814360108732</v>
      </c>
      <c r="E240" s="2">
        <v>1565000</v>
      </c>
      <c r="F240">
        <f t="shared" si="10"/>
        <v>6.1945143418824671</v>
      </c>
      <c r="H240">
        <v>4276784</v>
      </c>
      <c r="I240">
        <f t="shared" si="11"/>
        <v>6.6311173166638859</v>
      </c>
    </row>
    <row r="241" spans="1:9" x14ac:dyDescent="0.4">
      <c r="A241" s="2">
        <f>40.27*(100000)</f>
        <v>4027000.0000000005</v>
      </c>
      <c r="B241">
        <f t="shared" si="9"/>
        <v>6.6049816296074315</v>
      </c>
      <c r="E241" s="2">
        <v>3604810</v>
      </c>
      <c r="F241">
        <f t="shared" si="10"/>
        <v>6.5568823791452893</v>
      </c>
      <c r="H241">
        <v>7157700</v>
      </c>
      <c r="I241">
        <f t="shared" si="11"/>
        <v>6.8547734918920806</v>
      </c>
    </row>
    <row r="242" spans="1:9" x14ac:dyDescent="0.4">
      <c r="A242" s="2">
        <f>43.38*(100000)</f>
        <v>4338000</v>
      </c>
      <c r="B242">
        <f t="shared" si="9"/>
        <v>6.6372895476781748</v>
      </c>
      <c r="E242" s="2">
        <v>3604690</v>
      </c>
      <c r="F242">
        <f t="shared" si="10"/>
        <v>6.556867921738303</v>
      </c>
      <c r="H242">
        <v>984900</v>
      </c>
      <c r="I242">
        <f t="shared" si="11"/>
        <v>5.9933921374490025</v>
      </c>
    </row>
    <row r="243" spans="1:9" x14ac:dyDescent="0.4">
      <c r="A243" s="2">
        <f>33.79*(100000)</f>
        <v>3379000</v>
      </c>
      <c r="B243">
        <f t="shared" si="9"/>
        <v>6.528788191774896</v>
      </c>
      <c r="E243" s="2">
        <v>2794720</v>
      </c>
      <c r="F243">
        <f t="shared" si="10"/>
        <v>6.4463383029035368</v>
      </c>
      <c r="H243">
        <v>1941140</v>
      </c>
      <c r="I243">
        <f t="shared" si="11"/>
        <v>6.2880568589508785</v>
      </c>
    </row>
    <row r="244" spans="1:9" x14ac:dyDescent="0.4">
      <c r="A244" s="2">
        <f>40.56*(100000)</f>
        <v>4056000</v>
      </c>
      <c r="B244">
        <f t="shared" si="9"/>
        <v>6.6080979463252794</v>
      </c>
      <c r="E244" s="2">
        <v>2540840</v>
      </c>
      <c r="F244">
        <f t="shared" si="10"/>
        <v>6.4049773178229366</v>
      </c>
      <c r="H244">
        <v>435450</v>
      </c>
      <c r="I244">
        <f t="shared" si="11"/>
        <v>5.638938294887355</v>
      </c>
    </row>
    <row r="245" spans="1:9" x14ac:dyDescent="0.4">
      <c r="A245" s="2">
        <f>40.3*(100000)</f>
        <v>4029999.9999999995</v>
      </c>
      <c r="B245">
        <f t="shared" si="9"/>
        <v>6.6053050461411091</v>
      </c>
      <c r="E245" s="2">
        <v>2146210</v>
      </c>
      <c r="F245">
        <f t="shared" si="10"/>
        <v>6.3316722140787416</v>
      </c>
      <c r="H245">
        <v>2832519.9999999995</v>
      </c>
      <c r="I245">
        <f t="shared" si="11"/>
        <v>6.4521729850346308</v>
      </c>
    </row>
    <row r="246" spans="1:9" x14ac:dyDescent="0.4">
      <c r="A246" s="2">
        <f>34.87*(100000)</f>
        <v>3486999.9999999995</v>
      </c>
      <c r="B246">
        <f t="shared" si="9"/>
        <v>6.5424519473759766</v>
      </c>
      <c r="E246" s="2">
        <v>3599650</v>
      </c>
      <c r="F246">
        <f t="shared" si="10"/>
        <v>6.5562602756400139</v>
      </c>
      <c r="H246">
        <v>6725300</v>
      </c>
      <c r="I246">
        <f t="shared" si="11"/>
        <v>6.8277116619738649</v>
      </c>
    </row>
    <row r="247" spans="1:9" x14ac:dyDescent="0.4">
      <c r="A247" s="2">
        <f>31.84*(100000)</f>
        <v>3184000</v>
      </c>
      <c r="B247">
        <f t="shared" si="9"/>
        <v>6.5029730590656314</v>
      </c>
      <c r="E247" s="2">
        <v>3466000</v>
      </c>
      <c r="F247">
        <f t="shared" si="10"/>
        <v>6.5398285583778986</v>
      </c>
      <c r="H247">
        <v>13130</v>
      </c>
      <c r="I247">
        <f t="shared" si="11"/>
        <v>4.1182647260894791</v>
      </c>
    </row>
    <row r="248" spans="1:9" x14ac:dyDescent="0.4">
      <c r="A248" s="2">
        <f>30.1*(100000)</f>
        <v>3010000</v>
      </c>
      <c r="B248">
        <f t="shared" si="9"/>
        <v>6.4785664955938431</v>
      </c>
      <c r="E248" s="2">
        <v>2644700</v>
      </c>
      <c r="F248">
        <f t="shared" si="10"/>
        <v>6.4223764152241793</v>
      </c>
      <c r="H248">
        <v>1639470</v>
      </c>
      <c r="I248">
        <f t="shared" si="11"/>
        <v>6.2147034740986067</v>
      </c>
    </row>
    <row r="249" spans="1:9" x14ac:dyDescent="0.4">
      <c r="A249" s="2">
        <f>28.67*(100000)</f>
        <v>2867000</v>
      </c>
      <c r="B249">
        <f t="shared" si="9"/>
        <v>6.4574276929464842</v>
      </c>
      <c r="E249" s="2">
        <v>1871800</v>
      </c>
      <c r="F249">
        <f t="shared" si="10"/>
        <v>6.2722594429402223</v>
      </c>
      <c r="H249">
        <v>2250402</v>
      </c>
      <c r="I249">
        <f t="shared" si="11"/>
        <v>6.3522601051278951</v>
      </c>
    </row>
    <row r="250" spans="1:9" x14ac:dyDescent="0.4">
      <c r="A250" s="2">
        <f>29.88*(100000)</f>
        <v>2988000</v>
      </c>
      <c r="B250">
        <f t="shared" si="9"/>
        <v>6.4753805931433615</v>
      </c>
      <c r="E250" s="2">
        <v>4230030</v>
      </c>
      <c r="F250">
        <f t="shared" si="10"/>
        <v>6.6263434474668284</v>
      </c>
      <c r="H250">
        <v>10696600</v>
      </c>
      <c r="I250">
        <f t="shared" si="11"/>
        <v>7.0292457556395673</v>
      </c>
    </row>
    <row r="251" spans="1:9" x14ac:dyDescent="0.4">
      <c r="A251" s="2">
        <f>28.95*(100000)</f>
        <v>2895000</v>
      </c>
      <c r="B251">
        <f t="shared" si="9"/>
        <v>6.4616485680634552</v>
      </c>
      <c r="E251" s="2">
        <v>4389820</v>
      </c>
      <c r="F251">
        <f t="shared" si="10"/>
        <v>6.6424467128140074</v>
      </c>
      <c r="H251">
        <v>2026610</v>
      </c>
      <c r="I251">
        <f t="shared" si="11"/>
        <v>6.3067701812810153</v>
      </c>
    </row>
    <row r="252" spans="1:9" x14ac:dyDescent="0.4">
      <c r="A252" s="2">
        <f>28.4*(100000)</f>
        <v>2840000</v>
      </c>
      <c r="B252">
        <f t="shared" si="9"/>
        <v>6.453318340047038</v>
      </c>
      <c r="E252" s="2">
        <v>3534770</v>
      </c>
      <c r="F252">
        <f t="shared" si="10"/>
        <v>6.5483611604298035</v>
      </c>
      <c r="H252">
        <v>816940</v>
      </c>
      <c r="I252">
        <f t="shared" si="11"/>
        <v>5.9121901610296117</v>
      </c>
    </row>
    <row r="253" spans="1:9" x14ac:dyDescent="0.4">
      <c r="A253" s="2">
        <f>27.16*(100000)</f>
        <v>2716000</v>
      </c>
      <c r="B253">
        <f t="shared" si="9"/>
        <v>6.4339297656084637</v>
      </c>
      <c r="E253" s="2">
        <v>2447660</v>
      </c>
      <c r="F253">
        <f t="shared" si="10"/>
        <v>6.3887510906062968</v>
      </c>
      <c r="H253">
        <v>1812668</v>
      </c>
      <c r="I253">
        <f t="shared" si="11"/>
        <v>6.2583182679833245</v>
      </c>
    </row>
    <row r="254" spans="1:9" x14ac:dyDescent="0.4">
      <c r="A254" s="2">
        <f>28.63*(100000)</f>
        <v>2863000</v>
      </c>
      <c r="B254">
        <f t="shared" si="9"/>
        <v>6.4568213480215988</v>
      </c>
      <c r="E254" s="2">
        <v>1812230</v>
      </c>
      <c r="F254">
        <f t="shared" si="10"/>
        <v>6.2582133155217665</v>
      </c>
      <c r="H254">
        <v>2446757</v>
      </c>
      <c r="I254">
        <f t="shared" si="11"/>
        <v>6.3885908394786917</v>
      </c>
    </row>
    <row r="255" spans="1:9" x14ac:dyDescent="0.4">
      <c r="A255" s="2">
        <f>30.91*(100000)</f>
        <v>3091000</v>
      </c>
      <c r="B255">
        <f t="shared" si="9"/>
        <v>6.4900990050633052</v>
      </c>
      <c r="E255" s="2">
        <v>2976000</v>
      </c>
      <c r="F255">
        <f t="shared" si="10"/>
        <v>6.4736329268738411</v>
      </c>
      <c r="H255">
        <v>4548890</v>
      </c>
      <c r="I255">
        <f t="shared" si="11"/>
        <v>6.6579054349678728</v>
      </c>
    </row>
    <row r="256" spans="1:9" x14ac:dyDescent="0.4">
      <c r="A256" s="2">
        <f>32.43*(100000)</f>
        <v>3243000</v>
      </c>
      <c r="B256">
        <f t="shared" si="9"/>
        <v>6.5109469486729727</v>
      </c>
      <c r="E256" s="2">
        <v>2845280</v>
      </c>
      <c r="F256">
        <f t="shared" si="10"/>
        <v>6.4541250111428203</v>
      </c>
      <c r="H256">
        <v>919610</v>
      </c>
      <c r="I256">
        <f t="shared" si="11"/>
        <v>5.9636036852170831</v>
      </c>
    </row>
    <row r="257" spans="1:9" x14ac:dyDescent="0.4">
      <c r="A257" s="2">
        <f>28.35*(100000)</f>
        <v>2835000</v>
      </c>
      <c r="B257">
        <f t="shared" si="9"/>
        <v>6.4525530632289252</v>
      </c>
      <c r="E257" s="2">
        <v>2093130</v>
      </c>
      <c r="F257">
        <f t="shared" si="10"/>
        <v>6.3207962023135345</v>
      </c>
      <c r="H257">
        <v>1834010</v>
      </c>
      <c r="I257">
        <f t="shared" si="11"/>
        <v>6.2634016993454411</v>
      </c>
    </row>
    <row r="258" spans="1:9" x14ac:dyDescent="0.4">
      <c r="A258" s="2">
        <f>30.72*(100000)</f>
        <v>3072000</v>
      </c>
      <c r="B258">
        <f t="shared" si="9"/>
        <v>6.4874212113594742</v>
      </c>
      <c r="E258" s="2">
        <v>1704470</v>
      </c>
      <c r="F258">
        <f t="shared" si="10"/>
        <v>6.2315893617109266</v>
      </c>
      <c r="H258">
        <v>1876340</v>
      </c>
      <c r="I258">
        <f t="shared" si="11"/>
        <v>6.2733115369986683</v>
      </c>
    </row>
    <row r="259" spans="1:9" x14ac:dyDescent="0.4">
      <c r="A259" s="2">
        <f>29.03*(100000)</f>
        <v>2903000</v>
      </c>
      <c r="B259">
        <f t="shared" ref="B259:B322" si="12">LOG(A259)</f>
        <v>6.4628470358316736</v>
      </c>
      <c r="E259" s="2">
        <v>6792340</v>
      </c>
      <c r="F259">
        <f t="shared" ref="F259:F322" si="13">LOG(E259)</f>
        <v>6.8320194169926864</v>
      </c>
      <c r="H259">
        <v>23587900</v>
      </c>
      <c r="I259">
        <f t="shared" ref="I259:I322" si="14">LOG(H259)</f>
        <v>7.3726892779348239</v>
      </c>
    </row>
    <row r="260" spans="1:9" x14ac:dyDescent="0.4">
      <c r="A260" s="2">
        <f>27.01*(100000)</f>
        <v>2701000</v>
      </c>
      <c r="B260">
        <f t="shared" si="12"/>
        <v>6.4315245841874509</v>
      </c>
      <c r="E260" s="2">
        <v>7395350</v>
      </c>
      <c r="F260">
        <f t="shared" si="13"/>
        <v>6.8689587326901362</v>
      </c>
      <c r="H260">
        <v>8451900</v>
      </c>
      <c r="I260">
        <f t="shared" si="14"/>
        <v>6.9269543499863913</v>
      </c>
    </row>
    <row r="261" spans="1:9" x14ac:dyDescent="0.4">
      <c r="A261" s="2">
        <f>25.35*(100000)</f>
        <v>2535000</v>
      </c>
      <c r="B261">
        <f t="shared" si="12"/>
        <v>6.4039779636693543</v>
      </c>
      <c r="E261" s="2">
        <v>6383260</v>
      </c>
      <c r="F261">
        <f t="shared" si="13"/>
        <v>6.805042534272455</v>
      </c>
      <c r="H261">
        <v>1733430</v>
      </c>
      <c r="I261">
        <f t="shared" si="14"/>
        <v>6.2389063085089722</v>
      </c>
    </row>
    <row r="262" spans="1:9" x14ac:dyDescent="0.4">
      <c r="A262" s="2">
        <f>24.96*(100000)</f>
        <v>2496000</v>
      </c>
      <c r="B262">
        <f t="shared" si="12"/>
        <v>6.3972445810103862</v>
      </c>
      <c r="E262" s="2">
        <v>7013700</v>
      </c>
      <c r="F262">
        <f t="shared" si="13"/>
        <v>6.8459471856785079</v>
      </c>
      <c r="H262">
        <v>9813700</v>
      </c>
      <c r="I262">
        <f t="shared" si="14"/>
        <v>6.9918327776783205</v>
      </c>
    </row>
    <row r="263" spans="1:9" x14ac:dyDescent="0.4">
      <c r="A263" s="2">
        <f>25.33*(100000)</f>
        <v>2533000</v>
      </c>
      <c r="B263">
        <f t="shared" si="12"/>
        <v>6.4036351897905481</v>
      </c>
      <c r="E263" s="2">
        <v>6275520</v>
      </c>
      <c r="F263">
        <f t="shared" si="13"/>
        <v>6.7976497180054869</v>
      </c>
      <c r="H263">
        <v>3713310</v>
      </c>
      <c r="I263">
        <f t="shared" si="14"/>
        <v>6.5697612071495337</v>
      </c>
    </row>
    <row r="264" spans="1:9" x14ac:dyDescent="0.4">
      <c r="A264" s="2">
        <f>25.47*(100000)</f>
        <v>2547000</v>
      </c>
      <c r="B264">
        <f t="shared" si="12"/>
        <v>6.406028944963615</v>
      </c>
      <c r="E264" s="2">
        <v>5249610</v>
      </c>
      <c r="F264">
        <f t="shared" si="13"/>
        <v>6.7201270403318007</v>
      </c>
      <c r="H264">
        <v>1386970</v>
      </c>
      <c r="I264">
        <f t="shared" si="14"/>
        <v>6.1420670674356765</v>
      </c>
    </row>
    <row r="265" spans="1:9" x14ac:dyDescent="0.4">
      <c r="A265" s="2">
        <f>27.38*(100000)</f>
        <v>2738000</v>
      </c>
      <c r="B265">
        <f t="shared" si="12"/>
        <v>6.4374334437979712</v>
      </c>
      <c r="E265" s="2">
        <v>3913500</v>
      </c>
      <c r="F265">
        <f t="shared" si="13"/>
        <v>6.592565338155902</v>
      </c>
      <c r="H265">
        <v>1178160</v>
      </c>
      <c r="I265">
        <f t="shared" si="14"/>
        <v>6.0712042738114755</v>
      </c>
    </row>
    <row r="266" spans="1:9" x14ac:dyDescent="0.4">
      <c r="A266" s="2">
        <f>27.43*(100000)</f>
        <v>2743000</v>
      </c>
      <c r="B266">
        <f t="shared" si="12"/>
        <v>6.4382258076045291</v>
      </c>
      <c r="E266" s="2">
        <v>4397270</v>
      </c>
      <c r="F266">
        <f t="shared" si="13"/>
        <v>6.6431831328723945</v>
      </c>
      <c r="H266">
        <v>5408660</v>
      </c>
      <c r="I266">
        <f t="shared" si="14"/>
        <v>6.733089681614949</v>
      </c>
    </row>
    <row r="267" spans="1:9" x14ac:dyDescent="0.4">
      <c r="A267" s="2">
        <f>27.73*(100000)</f>
        <v>2773000</v>
      </c>
      <c r="B267">
        <f t="shared" si="12"/>
        <v>6.4429498695778618</v>
      </c>
      <c r="E267" s="2">
        <v>6707660</v>
      </c>
      <c r="F267">
        <f t="shared" si="13"/>
        <v>6.8265710408353444</v>
      </c>
      <c r="H267">
        <v>13209600</v>
      </c>
      <c r="I267">
        <f t="shared" si="14"/>
        <v>7.1208896669390613</v>
      </c>
    </row>
    <row r="268" spans="1:9" x14ac:dyDescent="0.4">
      <c r="A268" s="2">
        <f>26.15*(100000)</f>
        <v>2615000</v>
      </c>
      <c r="B268">
        <f t="shared" si="12"/>
        <v>6.4174716932032929</v>
      </c>
      <c r="E268" s="2">
        <v>6044260</v>
      </c>
      <c r="F268">
        <f t="shared" si="13"/>
        <v>6.7813431376882729</v>
      </c>
      <c r="H268">
        <v>2568860</v>
      </c>
      <c r="I268">
        <f t="shared" si="14"/>
        <v>6.4097404363472199</v>
      </c>
    </row>
    <row r="269" spans="1:9" x14ac:dyDescent="0.4">
      <c r="A269" s="2">
        <f>25.55*(100000)</f>
        <v>2555000</v>
      </c>
      <c r="B269">
        <f t="shared" si="12"/>
        <v>6.4073909044707316</v>
      </c>
      <c r="E269" s="2">
        <v>4786680</v>
      </c>
      <c r="F269">
        <f t="shared" si="13"/>
        <v>6.6800343949188674</v>
      </c>
      <c r="H269">
        <v>292790</v>
      </c>
      <c r="I269">
        <f t="shared" si="14"/>
        <v>5.4665562396712479</v>
      </c>
    </row>
    <row r="270" spans="1:9" x14ac:dyDescent="0.4">
      <c r="A270" s="2">
        <f>26.62*(100000)</f>
        <v>2662000</v>
      </c>
      <c r="B270">
        <f t="shared" si="12"/>
        <v>6.4252080511386565</v>
      </c>
      <c r="E270" s="2">
        <v>3443250</v>
      </c>
      <c r="F270">
        <f t="shared" si="13"/>
        <v>6.5369685561577207</v>
      </c>
      <c r="H270">
        <v>1638260</v>
      </c>
      <c r="I270">
        <f t="shared" si="14"/>
        <v>6.2143828275859452</v>
      </c>
    </row>
    <row r="271" spans="1:9" x14ac:dyDescent="0.4">
      <c r="A271" s="2">
        <f>25.84*(100000)</f>
        <v>2584000</v>
      </c>
      <c r="B271">
        <f t="shared" si="12"/>
        <v>6.4122925093230467</v>
      </c>
      <c r="E271" s="2">
        <v>2605970</v>
      </c>
      <c r="F271">
        <f t="shared" si="13"/>
        <v>6.4159694117950421</v>
      </c>
      <c r="H271">
        <v>2108359</v>
      </c>
      <c r="I271">
        <f t="shared" si="14"/>
        <v>6.3239445621592694</v>
      </c>
    </row>
    <row r="272" spans="1:9" x14ac:dyDescent="0.4">
      <c r="A272" s="2">
        <f>25.05*(100000)</f>
        <v>2505000</v>
      </c>
      <c r="B272">
        <f t="shared" si="12"/>
        <v>6.3988077302032647</v>
      </c>
      <c r="E272" s="2">
        <v>2085659.9999999998</v>
      </c>
      <c r="F272">
        <f t="shared" si="13"/>
        <v>6.3192435120680681</v>
      </c>
      <c r="H272">
        <v>2279733</v>
      </c>
      <c r="I272">
        <f t="shared" si="14"/>
        <v>6.3578839858527507</v>
      </c>
    </row>
    <row r="273" spans="1:9" x14ac:dyDescent="0.4">
      <c r="A273" s="2">
        <f>25.54*(100000)</f>
        <v>2554000</v>
      </c>
      <c r="B273">
        <f t="shared" si="12"/>
        <v>6.4072208929273966</v>
      </c>
      <c r="E273" s="2">
        <v>1708140</v>
      </c>
      <c r="F273">
        <f t="shared" si="13"/>
        <v>6.2325234628024884</v>
      </c>
      <c r="H273">
        <v>2445958</v>
      </c>
      <c r="I273">
        <f t="shared" si="14"/>
        <v>6.3884489954129231</v>
      </c>
    </row>
    <row r="274" spans="1:9" x14ac:dyDescent="0.4">
      <c r="A274" s="2">
        <f>25.14*(100000)</f>
        <v>2514000</v>
      </c>
      <c r="B274">
        <f t="shared" si="12"/>
        <v>6.400365273349939</v>
      </c>
      <c r="E274" s="2">
        <v>1406750</v>
      </c>
      <c r="F274">
        <f t="shared" si="13"/>
        <v>6.1482169238260305</v>
      </c>
      <c r="H274">
        <v>2461761.1</v>
      </c>
      <c r="I274">
        <f t="shared" si="14"/>
        <v>6.3912459048154915</v>
      </c>
    </row>
    <row r="275" spans="1:9" x14ac:dyDescent="0.4">
      <c r="A275" s="2">
        <f>25.23*(100000)</f>
        <v>2523000</v>
      </c>
      <c r="B275">
        <f t="shared" si="12"/>
        <v>6.4019172505175748</v>
      </c>
      <c r="E275" s="2">
        <v>1160890</v>
      </c>
      <c r="F275">
        <f t="shared" si="13"/>
        <v>6.0647910701638352</v>
      </c>
      <c r="H275">
        <v>2497613.5</v>
      </c>
      <c r="I275">
        <f t="shared" si="14"/>
        <v>6.3975252331557462</v>
      </c>
    </row>
    <row r="276" spans="1:9" x14ac:dyDescent="0.4">
      <c r="A276" s="2">
        <f>24.82*(100000)</f>
        <v>2482000</v>
      </c>
      <c r="B276">
        <f t="shared" si="12"/>
        <v>6.3948017771627113</v>
      </c>
      <c r="E276" s="2">
        <v>961428</v>
      </c>
      <c r="F276">
        <f t="shared" si="13"/>
        <v>5.982916766085137</v>
      </c>
      <c r="H276">
        <v>2469623.7999999998</v>
      </c>
      <c r="I276">
        <f t="shared" si="14"/>
        <v>6.3926308018315314</v>
      </c>
    </row>
    <row r="277" spans="1:9" x14ac:dyDescent="0.4">
      <c r="A277" s="2">
        <f>26.21*(100000)</f>
        <v>2621000</v>
      </c>
      <c r="B277">
        <f t="shared" si="12"/>
        <v>6.4184670209466006</v>
      </c>
      <c r="E277" s="2">
        <v>794972</v>
      </c>
      <c r="F277">
        <f t="shared" si="13"/>
        <v>5.9003518324808208</v>
      </c>
      <c r="H277">
        <v>2614954.58</v>
      </c>
      <c r="I277">
        <f t="shared" si="14"/>
        <v>6.4174641498661318</v>
      </c>
    </row>
    <row r="278" spans="1:9" x14ac:dyDescent="0.4">
      <c r="A278" s="2">
        <f>27.78*(100000)</f>
        <v>2778000</v>
      </c>
      <c r="B278">
        <f t="shared" si="12"/>
        <v>6.4437322414015972</v>
      </c>
      <c r="E278" s="2">
        <v>659236</v>
      </c>
      <c r="F278">
        <f t="shared" si="13"/>
        <v>5.8190409155799099</v>
      </c>
      <c r="H278">
        <v>2774983.28</v>
      </c>
      <c r="I278">
        <f t="shared" si="14"/>
        <v>6.4432603707287441</v>
      </c>
    </row>
    <row r="279" spans="1:9" x14ac:dyDescent="0.4">
      <c r="A279" s="2">
        <f>28.7*(100000)</f>
        <v>2870000</v>
      </c>
      <c r="B279">
        <f t="shared" si="12"/>
        <v>6.4578818967339924</v>
      </c>
      <c r="E279" s="2">
        <v>546187</v>
      </c>
      <c r="F279">
        <f t="shared" si="13"/>
        <v>5.7373413591221816</v>
      </c>
      <c r="H279">
        <v>2868523.51</v>
      </c>
      <c r="I279">
        <f t="shared" si="14"/>
        <v>6.4576584136472306</v>
      </c>
    </row>
    <row r="280" spans="1:9" x14ac:dyDescent="0.4">
      <c r="A280" s="2">
        <f>28.01*(100000)</f>
        <v>2801000</v>
      </c>
      <c r="B280">
        <f t="shared" si="12"/>
        <v>6.4473131088235682</v>
      </c>
      <c r="E280" s="2">
        <v>450709</v>
      </c>
      <c r="F280">
        <f t="shared" si="13"/>
        <v>5.6538962303836282</v>
      </c>
      <c r="H280">
        <v>2800277.031</v>
      </c>
      <c r="I280">
        <f t="shared" si="14"/>
        <v>6.4472009981576281</v>
      </c>
    </row>
    <row r="281" spans="1:9" x14ac:dyDescent="0.4">
      <c r="A281" s="2">
        <f>28.55*(100000)</f>
        <v>2855000</v>
      </c>
      <c r="B281">
        <f t="shared" si="12"/>
        <v>6.4556061125818669</v>
      </c>
      <c r="E281" s="2">
        <v>371300</v>
      </c>
      <c r="F281">
        <f t="shared" si="13"/>
        <v>5.5697249492261589</v>
      </c>
      <c r="H281">
        <v>2854645.8990000002</v>
      </c>
      <c r="I281">
        <f t="shared" si="14"/>
        <v>6.455552244403961</v>
      </c>
    </row>
    <row r="282" spans="1:9" x14ac:dyDescent="0.4">
      <c r="A282" s="2">
        <f>31.85*(100000)</f>
        <v>3185000</v>
      </c>
      <c r="B282">
        <f t="shared" si="12"/>
        <v>6.5031094366713695</v>
      </c>
      <c r="E282" s="2">
        <v>307466</v>
      </c>
      <c r="F282">
        <f t="shared" si="13"/>
        <v>5.4877970979040294</v>
      </c>
      <c r="H282">
        <v>3184826.5359999998</v>
      </c>
      <c r="I282">
        <f t="shared" si="14"/>
        <v>6.5030857831361901</v>
      </c>
    </row>
    <row r="283" spans="1:9" x14ac:dyDescent="0.4">
      <c r="A283" s="2">
        <f>32.23*(100000)</f>
        <v>3222999.9999999995</v>
      </c>
      <c r="B283">
        <f t="shared" si="12"/>
        <v>6.5082603055123345</v>
      </c>
      <c r="E283" s="2">
        <v>7189410</v>
      </c>
      <c r="F283">
        <f t="shared" si="13"/>
        <v>6.8566932514040282</v>
      </c>
      <c r="H283">
        <v>30274400</v>
      </c>
      <c r="I283">
        <f t="shared" si="14"/>
        <v>7.4810755447375907</v>
      </c>
    </row>
    <row r="284" spans="1:9" x14ac:dyDescent="0.4">
      <c r="A284" s="2">
        <f>29.27*(100000)</f>
        <v>2927000</v>
      </c>
      <c r="B284">
        <f t="shared" si="12"/>
        <v>6.4664227224337916</v>
      </c>
      <c r="E284" s="2">
        <v>8684030</v>
      </c>
      <c r="F284">
        <f t="shared" si="13"/>
        <v>6.9387213151061911</v>
      </c>
      <c r="H284">
        <v>13600300</v>
      </c>
      <c r="I284">
        <f t="shared" si="14"/>
        <v>7.1335484882898932</v>
      </c>
    </row>
    <row r="285" spans="1:9" x14ac:dyDescent="0.4">
      <c r="A285" s="2">
        <f>27.66*(100000)</f>
        <v>2766000</v>
      </c>
      <c r="B285">
        <f t="shared" si="12"/>
        <v>6.4418521757732918</v>
      </c>
      <c r="E285" s="2">
        <v>7791700</v>
      </c>
      <c r="F285">
        <f t="shared" si="13"/>
        <v>6.8916322227652262</v>
      </c>
      <c r="H285">
        <v>3293330</v>
      </c>
      <c r="I285">
        <f t="shared" si="14"/>
        <v>6.5176352502984294</v>
      </c>
    </row>
    <row r="286" spans="1:9" x14ac:dyDescent="0.4">
      <c r="A286" s="2">
        <f>29.54*(100000)</f>
        <v>2954000</v>
      </c>
      <c r="B286">
        <f t="shared" si="12"/>
        <v>6.4704104909759304</v>
      </c>
      <c r="E286" s="2">
        <v>6117040</v>
      </c>
      <c r="F286">
        <f t="shared" si="13"/>
        <v>6.7865413204066591</v>
      </c>
      <c r="H286">
        <v>317930</v>
      </c>
      <c r="I286">
        <f t="shared" si="14"/>
        <v>5.5023315100466847</v>
      </c>
    </row>
    <row r="287" spans="1:9" x14ac:dyDescent="0.4">
      <c r="A287" s="2">
        <f>29.19*(100000)</f>
        <v>2919000</v>
      </c>
      <c r="B287">
        <f t="shared" si="12"/>
        <v>6.4652340949880145</v>
      </c>
      <c r="E287" s="2">
        <v>4442350</v>
      </c>
      <c r="F287">
        <f t="shared" si="13"/>
        <v>6.647612772375572</v>
      </c>
      <c r="H287">
        <v>1733920</v>
      </c>
      <c r="I287">
        <f t="shared" si="14"/>
        <v>6.2390290560236732</v>
      </c>
    </row>
    <row r="288" spans="1:9" x14ac:dyDescent="0.4">
      <c r="A288" s="2">
        <f>28.96*(100000)</f>
        <v>2896000</v>
      </c>
      <c r="B288">
        <f t="shared" si="12"/>
        <v>6.4617985575251096</v>
      </c>
      <c r="E288" s="2">
        <v>3028760</v>
      </c>
      <c r="F288">
        <f t="shared" si="13"/>
        <v>6.4812648610498629</v>
      </c>
      <c r="H288">
        <v>2347294</v>
      </c>
      <c r="I288">
        <f t="shared" si="14"/>
        <v>6.3705674886532089</v>
      </c>
    </row>
    <row r="289" spans="1:9" x14ac:dyDescent="0.4">
      <c r="A289" s="2">
        <f>28.89*(100000)</f>
        <v>2889000</v>
      </c>
      <c r="B289">
        <f t="shared" si="12"/>
        <v>6.4607475418441966</v>
      </c>
      <c r="E289" s="2">
        <v>2178270</v>
      </c>
      <c r="F289">
        <f t="shared" si="13"/>
        <v>6.3381117102418694</v>
      </c>
      <c r="H289">
        <v>2628216</v>
      </c>
      <c r="I289">
        <f t="shared" si="14"/>
        <v>6.4196610548577562</v>
      </c>
    </row>
    <row r="290" spans="1:9" x14ac:dyDescent="0.4">
      <c r="A290" s="2">
        <f>28.69*(100000)</f>
        <v>2869000</v>
      </c>
      <c r="B290">
        <f t="shared" si="12"/>
        <v>6.4577305482459986</v>
      </c>
      <c r="E290" s="2">
        <v>1705750</v>
      </c>
      <c r="F290">
        <f t="shared" si="13"/>
        <v>6.2319153799519436</v>
      </c>
      <c r="H290">
        <v>2744094</v>
      </c>
      <c r="I290">
        <f t="shared" si="14"/>
        <v>6.4383989842147704</v>
      </c>
    </row>
    <row r="291" spans="1:9" x14ac:dyDescent="0.4">
      <c r="A291" s="2">
        <f>28.18*(100000)</f>
        <v>2818000</v>
      </c>
      <c r="B291">
        <f t="shared" si="12"/>
        <v>6.4499409887733377</v>
      </c>
      <c r="E291" s="2">
        <v>1381160</v>
      </c>
      <c r="F291">
        <f t="shared" si="13"/>
        <v>6.14024399218623</v>
      </c>
      <c r="H291">
        <v>2757659.7</v>
      </c>
      <c r="I291">
        <f t="shared" si="14"/>
        <v>6.4405406724523715</v>
      </c>
    </row>
    <row r="292" spans="1:9" x14ac:dyDescent="0.4">
      <c r="A292" s="2">
        <f>28.7*(100000)</f>
        <v>2870000</v>
      </c>
      <c r="B292">
        <f t="shared" si="12"/>
        <v>6.4578818967339924</v>
      </c>
      <c r="E292" s="2">
        <v>1132200</v>
      </c>
      <c r="F292">
        <f t="shared" si="13"/>
        <v>6.0539231505485747</v>
      </c>
      <c r="H292">
        <v>2840692.3</v>
      </c>
      <c r="I292">
        <f t="shared" si="14"/>
        <v>6.4534241940716646</v>
      </c>
    </row>
    <row r="293" spans="1:9" x14ac:dyDescent="0.4">
      <c r="A293" s="2">
        <f>29.45*(100000)</f>
        <v>2945000</v>
      </c>
      <c r="B293">
        <f t="shared" si="12"/>
        <v>6.4690852991231207</v>
      </c>
      <c r="E293" s="2">
        <v>931197</v>
      </c>
      <c r="F293">
        <f t="shared" si="13"/>
        <v>5.9690415681589659</v>
      </c>
      <c r="H293">
        <v>2930716.9</v>
      </c>
      <c r="I293">
        <f t="shared" si="14"/>
        <v>6.4669738686923051</v>
      </c>
    </row>
    <row r="294" spans="1:9" x14ac:dyDescent="0.4">
      <c r="A294" s="2">
        <f>31.58*(100000)</f>
        <v>3158000</v>
      </c>
      <c r="B294">
        <f t="shared" si="12"/>
        <v>6.4994121256722757</v>
      </c>
      <c r="E294" s="2">
        <v>766042</v>
      </c>
      <c r="F294">
        <f t="shared" si="13"/>
        <v>5.8842525814709798</v>
      </c>
      <c r="H294">
        <v>3151024.61</v>
      </c>
      <c r="I294">
        <f t="shared" si="14"/>
        <v>6.4984517950957583</v>
      </c>
    </row>
    <row r="295" spans="1:9" x14ac:dyDescent="0.4">
      <c r="A295" s="2">
        <f>30.02*(100000)</f>
        <v>3002000</v>
      </c>
      <c r="B295">
        <f t="shared" si="12"/>
        <v>6.4774106879072519</v>
      </c>
      <c r="E295" s="2">
        <v>941673</v>
      </c>
      <c r="F295">
        <f t="shared" si="13"/>
        <v>5.9739001183446119</v>
      </c>
      <c r="H295">
        <v>1509820</v>
      </c>
      <c r="I295">
        <f t="shared" si="14"/>
        <v>6.1789251740041422</v>
      </c>
    </row>
    <row r="296" spans="1:9" x14ac:dyDescent="0.4">
      <c r="A296" s="2">
        <f>29.29*(100000)</f>
        <v>2929000</v>
      </c>
      <c r="B296">
        <f t="shared" si="12"/>
        <v>6.4667193716815987</v>
      </c>
      <c r="E296" s="2">
        <v>855260</v>
      </c>
      <c r="F296">
        <f t="shared" si="13"/>
        <v>5.9320981608102477</v>
      </c>
      <c r="H296">
        <v>2483779</v>
      </c>
      <c r="I296">
        <f t="shared" si="14"/>
        <v>6.395112950864303</v>
      </c>
    </row>
    <row r="297" spans="1:9" x14ac:dyDescent="0.4">
      <c r="A297" s="2">
        <f>29.35*(100000)</f>
        <v>2935000</v>
      </c>
      <c r="B297">
        <f t="shared" si="12"/>
        <v>6.4676081055836336</v>
      </c>
      <c r="E297" s="2">
        <v>628421</v>
      </c>
      <c r="F297">
        <f t="shared" si="13"/>
        <v>5.7982506894674479</v>
      </c>
      <c r="H297">
        <v>2744193</v>
      </c>
      <c r="I297">
        <f t="shared" si="14"/>
        <v>6.4384146521831962</v>
      </c>
    </row>
    <row r="298" spans="1:9" x14ac:dyDescent="0.4">
      <c r="A298" s="2">
        <f>30.75*(100000)</f>
        <v>3075000</v>
      </c>
      <c r="B298">
        <f t="shared" si="12"/>
        <v>6.4878451201114355</v>
      </c>
      <c r="E298" s="2">
        <v>494013</v>
      </c>
      <c r="F298">
        <f t="shared" si="13"/>
        <v>5.6937383775754258</v>
      </c>
      <c r="H298">
        <v>2989710</v>
      </c>
      <c r="I298">
        <f t="shared" si="14"/>
        <v>6.4756290640743073</v>
      </c>
    </row>
    <row r="299" spans="1:9" x14ac:dyDescent="0.4">
      <c r="A299" s="2">
        <f>29.52*(100000)</f>
        <v>2952000</v>
      </c>
      <c r="B299">
        <f t="shared" si="12"/>
        <v>6.4701163531510035</v>
      </c>
      <c r="E299" s="2">
        <v>399314</v>
      </c>
      <c r="F299">
        <f t="shared" si="13"/>
        <v>5.601314536881441</v>
      </c>
      <c r="H299">
        <v>2912669.5</v>
      </c>
      <c r="I299">
        <f t="shared" si="14"/>
        <v>6.464291208119131</v>
      </c>
    </row>
    <row r="300" spans="1:9" x14ac:dyDescent="0.4">
      <c r="A300" s="2">
        <f>28.22*(100000)</f>
        <v>2822000</v>
      </c>
      <c r="B300">
        <f t="shared" si="12"/>
        <v>6.4505570094183291</v>
      </c>
      <c r="E300" s="2">
        <v>326207</v>
      </c>
      <c r="F300">
        <f t="shared" si="13"/>
        <v>5.5134932762283375</v>
      </c>
      <c r="H300">
        <v>2803466.6</v>
      </c>
      <c r="I300">
        <f t="shared" si="14"/>
        <v>6.4476953863585003</v>
      </c>
    </row>
    <row r="301" spans="1:9" x14ac:dyDescent="0.4">
      <c r="A301" s="2">
        <f>29.07*(100000)</f>
        <v>2907000</v>
      </c>
      <c r="B301">
        <f t="shared" si="12"/>
        <v>6.4634450317704282</v>
      </c>
      <c r="E301" s="2">
        <v>267533</v>
      </c>
      <c r="F301">
        <f t="shared" si="13"/>
        <v>5.4273773595683235</v>
      </c>
      <c r="H301">
        <v>2898140.16</v>
      </c>
      <c r="I301">
        <f t="shared" si="14"/>
        <v>6.4621193850146046</v>
      </c>
    </row>
    <row r="302" spans="1:9" x14ac:dyDescent="0.4">
      <c r="A302" s="2">
        <f>29.57*(100000)</f>
        <v>2957000</v>
      </c>
      <c r="B302">
        <f t="shared" si="12"/>
        <v>6.4708513245261177</v>
      </c>
      <c r="E302" s="2">
        <v>836057</v>
      </c>
      <c r="F302">
        <f t="shared" si="13"/>
        <v>5.9222358874169991</v>
      </c>
      <c r="H302">
        <v>24810</v>
      </c>
      <c r="I302">
        <f t="shared" si="14"/>
        <v>4.3946267642722088</v>
      </c>
    </row>
    <row r="303" spans="1:9" x14ac:dyDescent="0.4">
      <c r="A303" s="2">
        <f>30.48*(100000)</f>
        <v>3048000</v>
      </c>
      <c r="B303">
        <f t="shared" si="12"/>
        <v>6.4840149626675627</v>
      </c>
      <c r="E303" s="2">
        <v>843728</v>
      </c>
      <c r="F303">
        <f t="shared" si="13"/>
        <v>5.9262024618649587</v>
      </c>
      <c r="H303">
        <v>2293280</v>
      </c>
      <c r="I303">
        <f t="shared" si="14"/>
        <v>6.3604570835267342</v>
      </c>
    </row>
    <row r="304" spans="1:9" x14ac:dyDescent="0.4">
      <c r="A304" s="2">
        <f>28.94*(100000)</f>
        <v>2894000</v>
      </c>
      <c r="B304">
        <f t="shared" si="12"/>
        <v>6.4614985267830187</v>
      </c>
      <c r="E304" s="2">
        <v>543433</v>
      </c>
      <c r="F304">
        <f t="shared" si="13"/>
        <v>5.7351460074398899</v>
      </c>
      <c r="H304">
        <v>2513010</v>
      </c>
      <c r="I304">
        <f t="shared" si="14"/>
        <v>6.40019421678047</v>
      </c>
    </row>
    <row r="305" spans="1:9" x14ac:dyDescent="0.4">
      <c r="A305" s="2">
        <f>29.71*(100000)</f>
        <v>2971000</v>
      </c>
      <c r="B305">
        <f t="shared" si="12"/>
        <v>6.4729026518036639</v>
      </c>
      <c r="E305" s="2">
        <v>401669</v>
      </c>
      <c r="F305">
        <f t="shared" si="13"/>
        <v>5.6038683150564061</v>
      </c>
      <c r="H305">
        <v>2800727</v>
      </c>
      <c r="I305">
        <f t="shared" si="14"/>
        <v>6.4472707781660219</v>
      </c>
    </row>
    <row r="306" spans="1:9" x14ac:dyDescent="0.4">
      <c r="A306" s="2">
        <f>29.82*(100000)</f>
        <v>2982000</v>
      </c>
      <c r="B306">
        <f t="shared" si="12"/>
        <v>6.4745076391169754</v>
      </c>
      <c r="E306" s="2">
        <v>316645</v>
      </c>
      <c r="F306">
        <f t="shared" si="13"/>
        <v>5.5005726346669732</v>
      </c>
      <c r="H306">
        <v>2903490</v>
      </c>
      <c r="I306">
        <f t="shared" si="14"/>
        <v>6.4629203346048181</v>
      </c>
    </row>
    <row r="307" spans="1:9" x14ac:dyDescent="0.4">
      <c r="A307" s="2">
        <f>30.42*(100000)</f>
        <v>3042000</v>
      </c>
      <c r="B307">
        <f t="shared" si="12"/>
        <v>6.4831592097169795</v>
      </c>
      <c r="E307" s="2">
        <v>256224</v>
      </c>
      <c r="F307">
        <f t="shared" si="13"/>
        <v>5.4086198068270761</v>
      </c>
      <c r="H307">
        <v>3005007.2</v>
      </c>
      <c r="I307">
        <f t="shared" si="14"/>
        <v>6.4778455169099809</v>
      </c>
    </row>
    <row r="308" spans="1:9" x14ac:dyDescent="0.4">
      <c r="A308" s="2">
        <f>30.17*(100000)</f>
        <v>3017000</v>
      </c>
      <c r="B308">
        <f t="shared" si="12"/>
        <v>6.4795753101749884</v>
      </c>
      <c r="E308" s="2">
        <v>209399</v>
      </c>
      <c r="F308">
        <f t="shared" si="13"/>
        <v>5.3209746033432106</v>
      </c>
      <c r="H308">
        <v>2999316.7</v>
      </c>
      <c r="I308">
        <f t="shared" si="14"/>
        <v>6.4770223256463675</v>
      </c>
    </row>
    <row r="309" spans="1:9" x14ac:dyDescent="0.4">
      <c r="A309" s="2">
        <f>30.17*(100000)</f>
        <v>3017000</v>
      </c>
      <c r="B309">
        <f t="shared" si="12"/>
        <v>6.4795753101749884</v>
      </c>
      <c r="E309" s="2">
        <v>171761</v>
      </c>
      <c r="F309">
        <f t="shared" si="13"/>
        <v>5.2349245599168839</v>
      </c>
      <c r="H309">
        <v>3008468.1</v>
      </c>
      <c r="I309">
        <f t="shared" si="14"/>
        <v>6.4783454108526302</v>
      </c>
    </row>
    <row r="310" spans="1:9" x14ac:dyDescent="0.4">
      <c r="A310" s="2">
        <f>30.17*(100000)</f>
        <v>3017000</v>
      </c>
      <c r="B310">
        <f t="shared" si="12"/>
        <v>6.4795753101749884</v>
      </c>
      <c r="E310" s="2">
        <v>141078</v>
      </c>
      <c r="F310">
        <f t="shared" si="13"/>
        <v>5.1494592942395645</v>
      </c>
      <c r="H310">
        <v>3012859.25</v>
      </c>
      <c r="I310">
        <f t="shared" si="14"/>
        <v>6.4789788434635591</v>
      </c>
    </row>
    <row r="311" spans="1:9" x14ac:dyDescent="0.4">
      <c r="A311" s="2">
        <f>30.48*(100000)</f>
        <v>3048000</v>
      </c>
      <c r="B311">
        <f t="shared" si="12"/>
        <v>6.4840149626675627</v>
      </c>
      <c r="E311" s="2">
        <v>115933</v>
      </c>
      <c r="F311">
        <f t="shared" si="13"/>
        <v>5.0642070742549485</v>
      </c>
      <c r="H311">
        <v>3045983</v>
      </c>
      <c r="I311">
        <f t="shared" si="14"/>
        <v>6.48372747515669</v>
      </c>
    </row>
    <row r="312" spans="1:9" x14ac:dyDescent="0.4">
      <c r="A312" s="2">
        <f>29.5*(100000)</f>
        <v>2950000</v>
      </c>
      <c r="B312">
        <f t="shared" si="12"/>
        <v>6.4698220159781634</v>
      </c>
      <c r="E312" s="2">
        <v>5488850</v>
      </c>
      <c r="F312">
        <f t="shared" si="13"/>
        <v>6.7394813624882257</v>
      </c>
      <c r="H312">
        <v>23104500</v>
      </c>
      <c r="I312">
        <f t="shared" si="14"/>
        <v>7.3636965744738294</v>
      </c>
    </row>
    <row r="313" spans="1:9" x14ac:dyDescent="0.4">
      <c r="A313" s="2">
        <f>30.55*(100000)</f>
        <v>3055000</v>
      </c>
      <c r="B313">
        <f t="shared" si="12"/>
        <v>6.4850112145785728</v>
      </c>
      <c r="E313" s="2">
        <v>6056840</v>
      </c>
      <c r="F313">
        <f t="shared" si="13"/>
        <v>6.7822461013114941</v>
      </c>
      <c r="H313">
        <v>6401360</v>
      </c>
      <c r="I313">
        <f t="shared" si="14"/>
        <v>6.8062722517571252</v>
      </c>
    </row>
    <row r="314" spans="1:9" x14ac:dyDescent="0.4">
      <c r="A314" s="2">
        <f>30.2*(100000)</f>
        <v>3020000</v>
      </c>
      <c r="B314">
        <f t="shared" si="12"/>
        <v>6.480006942957151</v>
      </c>
      <c r="E314" s="2">
        <v>5197680</v>
      </c>
      <c r="F314">
        <f t="shared" si="13"/>
        <v>6.715809538244609</v>
      </c>
      <c r="H314">
        <v>704050</v>
      </c>
      <c r="I314">
        <f t="shared" si="14"/>
        <v>5.8476035028253683</v>
      </c>
    </row>
    <row r="315" spans="1:9" x14ac:dyDescent="0.4">
      <c r="A315" s="2">
        <f>30.37*(100000)</f>
        <v>3037000</v>
      </c>
      <c r="B315">
        <f t="shared" si="12"/>
        <v>6.4824447919182653</v>
      </c>
      <c r="E315" s="2">
        <v>3837130</v>
      </c>
      <c r="F315">
        <f t="shared" si="13"/>
        <v>6.5840065131222802</v>
      </c>
      <c r="H315">
        <v>1398170</v>
      </c>
      <c r="I315">
        <f t="shared" si="14"/>
        <v>6.1455599794020337</v>
      </c>
    </row>
    <row r="316" spans="1:9" x14ac:dyDescent="0.4">
      <c r="A316" s="2">
        <f>30.35*(100000)</f>
        <v>3035000</v>
      </c>
      <c r="B316">
        <f t="shared" si="12"/>
        <v>6.4821586954112762</v>
      </c>
      <c r="E316" s="2">
        <v>4734880</v>
      </c>
      <c r="F316">
        <f t="shared" si="13"/>
        <v>6.6753089767926772</v>
      </c>
      <c r="H316">
        <v>8141200</v>
      </c>
      <c r="I316">
        <f t="shared" si="14"/>
        <v>6.9106884239270148</v>
      </c>
    </row>
    <row r="317" spans="1:9" x14ac:dyDescent="0.4">
      <c r="A317" s="2">
        <f>31.81*(100000)</f>
        <v>3181000</v>
      </c>
      <c r="B317">
        <f t="shared" si="12"/>
        <v>6.5025636691073636</v>
      </c>
      <c r="E317" s="2">
        <v>4168370.0000000005</v>
      </c>
      <c r="F317">
        <f t="shared" si="13"/>
        <v>6.6199662615933921</v>
      </c>
      <c r="H317">
        <v>312230</v>
      </c>
      <c r="I317">
        <f t="shared" si="14"/>
        <v>5.4944746290547526</v>
      </c>
    </row>
    <row r="318" spans="1:9" x14ac:dyDescent="0.4">
      <c r="A318" s="2">
        <f>31.92*(100000)</f>
        <v>3192000</v>
      </c>
      <c r="B318">
        <f t="shared" si="12"/>
        <v>6.5040628826786921</v>
      </c>
      <c r="E318" s="2">
        <v>3159100</v>
      </c>
      <c r="F318">
        <f t="shared" si="13"/>
        <v>6.4995633735344027</v>
      </c>
      <c r="H318">
        <v>1657430</v>
      </c>
      <c r="I318">
        <f t="shared" si="14"/>
        <v>6.219435195444416</v>
      </c>
    </row>
    <row r="319" spans="1:9" x14ac:dyDescent="0.4">
      <c r="A319" s="2">
        <f>30.91*(100000)</f>
        <v>3091000</v>
      </c>
      <c r="B319">
        <f t="shared" si="12"/>
        <v>6.4900990050633052</v>
      </c>
      <c r="E319" s="2">
        <v>2241960</v>
      </c>
      <c r="F319">
        <f t="shared" si="13"/>
        <v>6.3506278598493893</v>
      </c>
      <c r="H319">
        <v>2394894</v>
      </c>
      <c r="I319">
        <f t="shared" si="14"/>
        <v>6.3792862959410437</v>
      </c>
    </row>
    <row r="320" spans="1:9" x14ac:dyDescent="0.4">
      <c r="A320" s="2">
        <f>32.86*(100000)</f>
        <v>3286000</v>
      </c>
      <c r="B320">
        <f t="shared" si="12"/>
        <v>6.5166675590990426</v>
      </c>
      <c r="E320" s="2">
        <v>1745510</v>
      </c>
      <c r="F320">
        <f t="shared" si="13"/>
        <v>6.2419223412237459</v>
      </c>
      <c r="H320">
        <v>2962636</v>
      </c>
      <c r="I320">
        <f t="shared" si="14"/>
        <v>6.4716782957924552</v>
      </c>
    </row>
    <row r="321" spans="1:9" x14ac:dyDescent="0.4">
      <c r="A321" s="2">
        <f>32.57*(100000)</f>
        <v>3257000</v>
      </c>
      <c r="B321">
        <f t="shared" si="12"/>
        <v>6.5128177585648732</v>
      </c>
      <c r="E321" s="2">
        <v>1413550</v>
      </c>
      <c r="F321">
        <f t="shared" si="13"/>
        <v>6.1503111749338117</v>
      </c>
      <c r="H321">
        <v>3103870</v>
      </c>
      <c r="I321">
        <f t="shared" si="14"/>
        <v>6.4919035233255329</v>
      </c>
    </row>
    <row r="322" spans="1:9" x14ac:dyDescent="0.4">
      <c r="A322" s="2">
        <f>32.89*(100000)</f>
        <v>3289000</v>
      </c>
      <c r="B322">
        <f t="shared" si="12"/>
        <v>6.5170638734826545</v>
      </c>
      <c r="E322" s="2">
        <v>5632860</v>
      </c>
      <c r="F322">
        <f t="shared" si="13"/>
        <v>6.7507289573452312</v>
      </c>
      <c r="H322">
        <v>18373000</v>
      </c>
      <c r="I322">
        <f t="shared" si="14"/>
        <v>7.2641800750358305</v>
      </c>
    </row>
    <row r="323" spans="1:9" x14ac:dyDescent="0.4">
      <c r="A323" s="2">
        <f>32.63*(100000)</f>
        <v>3263000.0000000005</v>
      </c>
      <c r="B323">
        <f t="shared" ref="B323:B366" si="15">LOG(A323)</f>
        <v>6.5136170737878754</v>
      </c>
      <c r="E323" s="2">
        <v>6375370</v>
      </c>
      <c r="F323">
        <f t="shared" ref="F323:F366" si="16">LOG(E323)</f>
        <v>6.8045053944856564</v>
      </c>
      <c r="H323">
        <v>6491090</v>
      </c>
      <c r="I323">
        <f t="shared" ref="I323:I366" si="17">LOG(H323)</f>
        <v>6.8123176307352526</v>
      </c>
    </row>
    <row r="324" spans="1:9" x14ac:dyDescent="0.4">
      <c r="A324" s="2">
        <f>32.18*(100000)</f>
        <v>3218000</v>
      </c>
      <c r="B324">
        <f t="shared" si="15"/>
        <v>6.5075860397630105</v>
      </c>
      <c r="E324" s="2">
        <v>6107460</v>
      </c>
      <c r="F324">
        <f t="shared" si="16"/>
        <v>6.7858606313006256</v>
      </c>
      <c r="H324">
        <v>3482160</v>
      </c>
      <c r="I324">
        <f t="shared" si="17"/>
        <v>6.5418487224161961</v>
      </c>
    </row>
    <row r="325" spans="1:9" x14ac:dyDescent="0.4">
      <c r="A325" s="2">
        <f>30.89*(100000)</f>
        <v>3089000</v>
      </c>
      <c r="B325">
        <f t="shared" si="15"/>
        <v>6.4898179083014504</v>
      </c>
      <c r="E325" s="2">
        <v>4810430</v>
      </c>
      <c r="F325">
        <f t="shared" si="16"/>
        <v>6.6821838993011529</v>
      </c>
      <c r="H325">
        <v>548880</v>
      </c>
      <c r="I325">
        <f t="shared" si="17"/>
        <v>5.7394774063183549</v>
      </c>
    </row>
    <row r="326" spans="1:9" x14ac:dyDescent="0.4">
      <c r="A326" s="2">
        <f>30.65*(100000)</f>
        <v>3065000</v>
      </c>
      <c r="B326">
        <f t="shared" si="15"/>
        <v>6.4864304788544338</v>
      </c>
      <c r="E326" s="2">
        <v>3459470</v>
      </c>
      <c r="F326">
        <f t="shared" si="16"/>
        <v>6.5390095688198571</v>
      </c>
      <c r="H326">
        <v>1932010</v>
      </c>
      <c r="I326">
        <f t="shared" si="17"/>
        <v>6.2860093699747024</v>
      </c>
    </row>
    <row r="327" spans="1:9" x14ac:dyDescent="0.4">
      <c r="A327" s="2">
        <f>32.26*(100000)</f>
        <v>3226000</v>
      </c>
      <c r="B327">
        <f t="shared" si="15"/>
        <v>6.5086643630529428</v>
      </c>
      <c r="E327" s="2">
        <v>2432440</v>
      </c>
      <c r="F327">
        <f t="shared" si="16"/>
        <v>6.3860421365086166</v>
      </c>
      <c r="H327">
        <v>2704959</v>
      </c>
      <c r="I327">
        <f t="shared" si="17"/>
        <v>6.4321606867406649</v>
      </c>
    </row>
    <row r="328" spans="1:9" x14ac:dyDescent="0.4">
      <c r="A328" s="2">
        <f>32.76*(100000)</f>
        <v>3276000</v>
      </c>
      <c r="B328">
        <f t="shared" si="15"/>
        <v>6.5153438930883807</v>
      </c>
      <c r="E328" s="2">
        <v>1885420</v>
      </c>
      <c r="F328">
        <f t="shared" si="16"/>
        <v>6.2754081096423864</v>
      </c>
      <c r="H328">
        <v>3030927</v>
      </c>
      <c r="I328">
        <f t="shared" si="17"/>
        <v>6.4815754764933349</v>
      </c>
    </row>
    <row r="329" spans="1:9" x14ac:dyDescent="0.4">
      <c r="A329" s="2">
        <f>32.76*(100000)</f>
        <v>3276000</v>
      </c>
      <c r="B329">
        <f t="shared" si="15"/>
        <v>6.5153438930883807</v>
      </c>
      <c r="E329" s="2">
        <v>1523920</v>
      </c>
      <c r="F329">
        <f t="shared" si="16"/>
        <v>6.1829621687945995</v>
      </c>
      <c r="H329">
        <v>3158985</v>
      </c>
      <c r="I329">
        <f t="shared" si="17"/>
        <v>6.4995475637232261</v>
      </c>
    </row>
    <row r="330" spans="1:9" x14ac:dyDescent="0.4">
      <c r="A330" s="2">
        <f>32.2*(100000)</f>
        <v>3220000.0000000005</v>
      </c>
      <c r="B330">
        <f t="shared" si="15"/>
        <v>6.5078558716958312</v>
      </c>
      <c r="E330" s="2">
        <v>1252690</v>
      </c>
      <c r="F330">
        <f t="shared" si="16"/>
        <v>6.0978436105420775</v>
      </c>
      <c r="H330">
        <v>3163584.1000000006</v>
      </c>
      <c r="I330">
        <f t="shared" si="17"/>
        <v>6.5001793841343325</v>
      </c>
    </row>
    <row r="331" spans="1:9" x14ac:dyDescent="0.4">
      <c r="A331" s="2">
        <f>31.97*(100000)</f>
        <v>3197000</v>
      </c>
      <c r="B331">
        <f t="shared" si="15"/>
        <v>6.504742636271688</v>
      </c>
      <c r="E331" s="2">
        <v>1034950</v>
      </c>
      <c r="F331">
        <f t="shared" si="16"/>
        <v>6.0149193688763933</v>
      </c>
      <c r="H331">
        <v>3169632.6</v>
      </c>
      <c r="I331">
        <f t="shared" si="17"/>
        <v>6.5010089249812282</v>
      </c>
    </row>
    <row r="332" spans="1:9" x14ac:dyDescent="0.4">
      <c r="A332" s="2">
        <f>32.18*(100000)</f>
        <v>3218000</v>
      </c>
      <c r="B332">
        <f t="shared" si="15"/>
        <v>6.5075860397630105</v>
      </c>
      <c r="E332" s="2">
        <v>854820</v>
      </c>
      <c r="F332">
        <f t="shared" si="16"/>
        <v>5.9318746746853241</v>
      </c>
      <c r="H332">
        <v>3204672.9</v>
      </c>
      <c r="I332">
        <f t="shared" si="17"/>
        <v>6.5057837078096945</v>
      </c>
    </row>
    <row r="333" spans="1:9" x14ac:dyDescent="0.4">
      <c r="A333" s="2">
        <f>33.24*(100000)</f>
        <v>3324000</v>
      </c>
      <c r="B333">
        <f t="shared" si="15"/>
        <v>6.5216610151120733</v>
      </c>
      <c r="E333" s="2">
        <v>1476680</v>
      </c>
      <c r="F333">
        <f t="shared" si="16"/>
        <v>6.1692863928805739</v>
      </c>
      <c r="H333">
        <v>404430</v>
      </c>
      <c r="I333">
        <f t="shared" si="17"/>
        <v>5.6068433634155399</v>
      </c>
    </row>
    <row r="334" spans="1:9" x14ac:dyDescent="0.4">
      <c r="A334" s="2">
        <f>32.49*(100000)</f>
        <v>3249000</v>
      </c>
      <c r="B334">
        <f t="shared" si="15"/>
        <v>6.5117497113449829</v>
      </c>
      <c r="E334" s="2">
        <v>1416430</v>
      </c>
      <c r="F334">
        <f t="shared" si="16"/>
        <v>6.1511951165444758</v>
      </c>
      <c r="H334">
        <v>2129720</v>
      </c>
      <c r="I334">
        <f t="shared" si="17"/>
        <v>6.3283225093315627</v>
      </c>
    </row>
    <row r="335" spans="1:9" x14ac:dyDescent="0.4">
      <c r="A335" s="2">
        <f>32.15*(100000)</f>
        <v>3215000</v>
      </c>
      <c r="B335">
        <f t="shared" si="15"/>
        <v>6.5071809772602407</v>
      </c>
      <c r="E335" s="2">
        <v>984175</v>
      </c>
      <c r="F335">
        <f t="shared" si="16"/>
        <v>5.9930723288956376</v>
      </c>
      <c r="H335">
        <v>2734932</v>
      </c>
      <c r="I335">
        <f t="shared" si="17"/>
        <v>6.4369465327199427</v>
      </c>
    </row>
    <row r="336" spans="1:9" x14ac:dyDescent="0.4">
      <c r="A336" s="2">
        <f>31.92*(100000)</f>
        <v>3192000</v>
      </c>
      <c r="B336">
        <f t="shared" si="15"/>
        <v>6.5040628826786921</v>
      </c>
      <c r="E336" s="2">
        <v>760241</v>
      </c>
      <c r="F336">
        <f t="shared" si="16"/>
        <v>5.8809512875159751</v>
      </c>
      <c r="H336">
        <v>2974204</v>
      </c>
      <c r="I336">
        <f t="shared" si="17"/>
        <v>6.47337075337082</v>
      </c>
    </row>
    <row r="337" spans="1:9" x14ac:dyDescent="0.4">
      <c r="A337" s="2">
        <f>31.45*(100000)</f>
        <v>3145000</v>
      </c>
      <c r="B337">
        <f t="shared" si="15"/>
        <v>6.4976206497812878</v>
      </c>
      <c r="E337" s="2">
        <v>615152</v>
      </c>
      <c r="F337">
        <f t="shared" si="16"/>
        <v>5.7889824403362597</v>
      </c>
      <c r="H337">
        <v>3042827</v>
      </c>
      <c r="I337">
        <f t="shared" si="17"/>
        <v>6.4832772612371778</v>
      </c>
    </row>
    <row r="338" spans="1:9" x14ac:dyDescent="0.4">
      <c r="A338" s="2">
        <f>32.28*(100000)</f>
        <v>3228000</v>
      </c>
      <c r="B338">
        <f t="shared" si="15"/>
        <v>6.5089335260500327</v>
      </c>
      <c r="E338" s="2">
        <v>503779</v>
      </c>
      <c r="F338">
        <f t="shared" si="16"/>
        <v>5.7022400599977345</v>
      </c>
      <c r="H338">
        <v>3179781.4</v>
      </c>
      <c r="I338">
        <f t="shared" si="17"/>
        <v>6.5023972646268939</v>
      </c>
    </row>
    <row r="339" spans="1:9" x14ac:dyDescent="0.4">
      <c r="A339" s="2">
        <f>32.94*(100000)</f>
        <v>3294000</v>
      </c>
      <c r="B339">
        <f t="shared" si="15"/>
        <v>6.5177235948337353</v>
      </c>
      <c r="E339" s="2">
        <v>414500</v>
      </c>
      <c r="F339">
        <f t="shared" si="16"/>
        <v>5.6175245348862921</v>
      </c>
      <c r="H339">
        <v>3270926.8</v>
      </c>
      <c r="I339">
        <f t="shared" si="17"/>
        <v>6.5146708251669292</v>
      </c>
    </row>
    <row r="340" spans="1:9" x14ac:dyDescent="0.4">
      <c r="A340" s="2">
        <f>32.97*(100000)</f>
        <v>3297000</v>
      </c>
      <c r="B340">
        <f t="shared" si="15"/>
        <v>6.5181189471431527</v>
      </c>
      <c r="E340" s="2">
        <v>341078</v>
      </c>
      <c r="F340">
        <f t="shared" si="16"/>
        <v>5.5328537077195232</v>
      </c>
      <c r="H340">
        <v>3285860.3</v>
      </c>
      <c r="I340">
        <f t="shared" si="17"/>
        <v>6.5166490952436469</v>
      </c>
    </row>
    <row r="341" spans="1:9" x14ac:dyDescent="0.4">
      <c r="A341" s="2">
        <f>32.68*(100000)</f>
        <v>3268000</v>
      </c>
      <c r="B341">
        <f t="shared" si="15"/>
        <v>6.5142820478603776</v>
      </c>
      <c r="E341" s="2">
        <v>280712</v>
      </c>
      <c r="F341">
        <f t="shared" si="16"/>
        <v>5.4482609784427352</v>
      </c>
      <c r="H341">
        <v>3262591.38</v>
      </c>
      <c r="I341">
        <f t="shared" si="17"/>
        <v>6.5135626844149908</v>
      </c>
    </row>
    <row r="342" spans="1:9" x14ac:dyDescent="0.4">
      <c r="A342" s="2">
        <f>32.47*(100000)</f>
        <v>3247000</v>
      </c>
      <c r="B342">
        <f t="shared" si="15"/>
        <v>6.5114822886260013</v>
      </c>
      <c r="E342" s="2">
        <v>231944</v>
      </c>
      <c r="F342">
        <f t="shared" si="16"/>
        <v>5.3653831425344745</v>
      </c>
      <c r="H342">
        <v>3244364.73</v>
      </c>
      <c r="I342">
        <f t="shared" si="17"/>
        <v>6.5111296714708109</v>
      </c>
    </row>
    <row r="343" spans="1:9" x14ac:dyDescent="0.4">
      <c r="A343" s="2">
        <f>32.76*(100000)</f>
        <v>3276000</v>
      </c>
      <c r="B343">
        <f t="shared" si="15"/>
        <v>6.5153438930883807</v>
      </c>
      <c r="E343" s="2">
        <v>191185</v>
      </c>
      <c r="F343">
        <f t="shared" si="16"/>
        <v>5.2814538153837214</v>
      </c>
      <c r="H343">
        <v>3274713.2</v>
      </c>
      <c r="I343">
        <f t="shared" si="17"/>
        <v>6.5151732704006093</v>
      </c>
    </row>
    <row r="344" spans="1:9" x14ac:dyDescent="0.4">
      <c r="A344" s="2">
        <f>32.65*(100000)</f>
        <v>3265000</v>
      </c>
      <c r="B344">
        <f t="shared" si="15"/>
        <v>6.5138831856110926</v>
      </c>
      <c r="E344" s="2">
        <v>157150</v>
      </c>
      <c r="F344">
        <f t="shared" si="16"/>
        <v>5.1963143853535989</v>
      </c>
      <c r="H344">
        <v>3264370.8160000001</v>
      </c>
      <c r="I344">
        <f t="shared" si="17"/>
        <v>6.5137994865387476</v>
      </c>
    </row>
    <row r="345" spans="1:9" x14ac:dyDescent="0.4">
      <c r="A345" s="2">
        <f>32.78*(100000)</f>
        <v>3278000</v>
      </c>
      <c r="B345">
        <f t="shared" si="15"/>
        <v>6.5156089492344806</v>
      </c>
      <c r="E345" s="2">
        <v>129177</v>
      </c>
      <c r="F345">
        <f t="shared" si="16"/>
        <v>5.1111851942915507</v>
      </c>
      <c r="H345">
        <v>3277692.1039999998</v>
      </c>
      <c r="I345">
        <f t="shared" si="17"/>
        <v>6.5155681549043694</v>
      </c>
    </row>
    <row r="346" spans="1:9" x14ac:dyDescent="0.4">
      <c r="A346" s="2">
        <f>33.57*(100000)</f>
        <v>3357000</v>
      </c>
      <c r="B346">
        <f t="shared" si="15"/>
        <v>6.5259513412480121</v>
      </c>
      <c r="E346" s="2">
        <v>106183</v>
      </c>
      <c r="F346">
        <f t="shared" si="16"/>
        <v>5.0260549913483317</v>
      </c>
      <c r="H346">
        <v>3356849.2519999999</v>
      </c>
      <c r="I346">
        <f t="shared" si="17"/>
        <v>6.5259318385686669</v>
      </c>
    </row>
    <row r="347" spans="1:9" x14ac:dyDescent="0.4">
      <c r="A347" s="2">
        <f>33.74*(100000)</f>
        <v>3374000</v>
      </c>
      <c r="B347">
        <f t="shared" si="15"/>
        <v>6.5281450782531065</v>
      </c>
      <c r="E347" s="2">
        <v>3939960</v>
      </c>
      <c r="F347">
        <f t="shared" si="16"/>
        <v>6.595491812722158</v>
      </c>
      <c r="H347">
        <v>15235700</v>
      </c>
      <c r="I347">
        <f t="shared" si="17"/>
        <v>7.1828624125562959</v>
      </c>
    </row>
    <row r="348" spans="1:9" x14ac:dyDescent="0.4">
      <c r="A348" s="2">
        <f>32.76*(100000)</f>
        <v>3276000</v>
      </c>
      <c r="B348">
        <f t="shared" si="15"/>
        <v>6.5153438930883807</v>
      </c>
      <c r="E348" s="2">
        <v>4332930</v>
      </c>
      <c r="F348">
        <f t="shared" si="16"/>
        <v>6.6367816729117584</v>
      </c>
      <c r="H348">
        <v>2883940</v>
      </c>
      <c r="I348">
        <f t="shared" si="17"/>
        <v>6.4599862207006593</v>
      </c>
    </row>
    <row r="349" spans="1:9" x14ac:dyDescent="0.4">
      <c r="A349" s="2">
        <f>32.6*(100000)</f>
        <v>3260000</v>
      </c>
      <c r="B349">
        <f t="shared" si="15"/>
        <v>6.5132176000679394</v>
      </c>
      <c r="E349" s="2">
        <v>3586560</v>
      </c>
      <c r="F349">
        <f t="shared" si="16"/>
        <v>6.5546781005976245</v>
      </c>
      <c r="H349">
        <v>715360</v>
      </c>
      <c r="I349">
        <f t="shared" si="17"/>
        <v>5.8545246525239563</v>
      </c>
    </row>
    <row r="350" spans="1:9" x14ac:dyDescent="0.4">
      <c r="A350" s="2">
        <f>32.76*(100000)</f>
        <v>3276000</v>
      </c>
      <c r="B350">
        <f t="shared" si="15"/>
        <v>6.5153438930883807</v>
      </c>
      <c r="E350" s="2">
        <v>3565370</v>
      </c>
      <c r="F350">
        <f t="shared" si="16"/>
        <v>6.5521046058906007</v>
      </c>
      <c r="H350">
        <v>3076710</v>
      </c>
      <c r="I350">
        <f t="shared" si="17"/>
        <v>6.4880865630868625</v>
      </c>
    </row>
    <row r="351" spans="1:9" x14ac:dyDescent="0.4">
      <c r="A351" s="2">
        <f>33.08*(100000)</f>
        <v>3308000</v>
      </c>
      <c r="B351">
        <f t="shared" si="15"/>
        <v>6.5195655008805087</v>
      </c>
      <c r="E351" s="2">
        <v>3113270</v>
      </c>
      <c r="F351">
        <f t="shared" si="16"/>
        <v>6.493216786736248</v>
      </c>
      <c r="H351">
        <v>286370</v>
      </c>
      <c r="I351">
        <f t="shared" si="17"/>
        <v>5.4569275195126306</v>
      </c>
    </row>
    <row r="352" spans="1:9" x14ac:dyDescent="0.4">
      <c r="A352" s="2">
        <f>32.05*(100000)</f>
        <v>3204999.9999999995</v>
      </c>
      <c r="B352">
        <f t="shared" si="15"/>
        <v>6.5058280338548364</v>
      </c>
      <c r="E352" s="2">
        <v>3040420</v>
      </c>
      <c r="F352">
        <f t="shared" si="16"/>
        <v>6.4829335806756303</v>
      </c>
      <c r="H352">
        <v>1906970.0000000005</v>
      </c>
      <c r="I352">
        <f t="shared" si="17"/>
        <v>6.2803438608819055</v>
      </c>
    </row>
    <row r="353" spans="1:9" x14ac:dyDescent="0.4">
      <c r="A353" s="2">
        <f>32.36*(100000)</f>
        <v>3236000</v>
      </c>
      <c r="B353">
        <f t="shared" si="15"/>
        <v>6.5100085129402343</v>
      </c>
      <c r="E353" s="2">
        <v>2524790</v>
      </c>
      <c r="F353">
        <f t="shared" si="16"/>
        <v>6.4022252614115267</v>
      </c>
      <c r="H353">
        <v>1481330</v>
      </c>
      <c r="I353">
        <f t="shared" si="17"/>
        <v>6.1706518182877579</v>
      </c>
    </row>
    <row r="354" spans="1:9" x14ac:dyDescent="0.4">
      <c r="A354" s="2">
        <f>33.18*(100000)</f>
        <v>3318000</v>
      </c>
      <c r="B354">
        <f t="shared" si="15"/>
        <v>6.5208763816883417</v>
      </c>
      <c r="E354" s="2">
        <v>1850230</v>
      </c>
      <c r="F354">
        <f t="shared" si="16"/>
        <v>6.2672257184149682</v>
      </c>
      <c r="H354">
        <v>2531486</v>
      </c>
      <c r="I354">
        <f t="shared" si="17"/>
        <v>6.4033755299296304</v>
      </c>
    </row>
    <row r="355" spans="1:9" x14ac:dyDescent="0.4">
      <c r="A355" s="2">
        <f>33.37*(100000)</f>
        <v>3336999.9999999995</v>
      </c>
      <c r="B355">
        <f t="shared" si="15"/>
        <v>6.5233562066547925</v>
      </c>
      <c r="E355" s="2">
        <v>1772500</v>
      </c>
      <c r="F355">
        <f t="shared" si="16"/>
        <v>6.2485862438551045</v>
      </c>
      <c r="H355">
        <v>1482189.9999999995</v>
      </c>
      <c r="I355">
        <f t="shared" si="17"/>
        <v>6.170903878854193</v>
      </c>
    </row>
    <row r="356" spans="1:9" x14ac:dyDescent="0.4">
      <c r="A356" s="2">
        <f>33.13*(100000)</f>
        <v>3313000.0000000005</v>
      </c>
      <c r="B356">
        <f t="shared" si="15"/>
        <v>6.5202214358819601</v>
      </c>
      <c r="E356" s="2">
        <v>1528660</v>
      </c>
      <c r="F356">
        <f t="shared" si="16"/>
        <v>6.1843109016688986</v>
      </c>
      <c r="H356">
        <v>2688578.0000000005</v>
      </c>
      <c r="I356">
        <f t="shared" si="17"/>
        <v>6.4295226405818564</v>
      </c>
    </row>
    <row r="357" spans="1:9" x14ac:dyDescent="0.4">
      <c r="A357" s="2">
        <f>32.31*(100000)</f>
        <v>3231000</v>
      </c>
      <c r="B357">
        <f t="shared" si="15"/>
        <v>6.5093369580176441</v>
      </c>
      <c r="E357" s="2">
        <v>1496250</v>
      </c>
      <c r="F357">
        <f t="shared" si="16"/>
        <v>6.1750041634144672</v>
      </c>
      <c r="H357">
        <v>1463110</v>
      </c>
      <c r="I357">
        <f t="shared" si="17"/>
        <v>6.1652769786182331</v>
      </c>
    </row>
    <row r="358" spans="1:9" x14ac:dyDescent="0.4">
      <c r="A358" s="2">
        <f>32.31*(100000)</f>
        <v>3231000</v>
      </c>
      <c r="B358">
        <f t="shared" si="15"/>
        <v>6.5093369580176441</v>
      </c>
      <c r="E358" s="2">
        <v>1757580</v>
      </c>
      <c r="F358">
        <f t="shared" si="16"/>
        <v>6.2449151019808102</v>
      </c>
      <c r="H358">
        <v>421540</v>
      </c>
      <c r="I358">
        <f t="shared" si="17"/>
        <v>5.6248387911909976</v>
      </c>
    </row>
    <row r="359" spans="1:9" x14ac:dyDescent="0.4">
      <c r="A359" s="2">
        <f>32.05*(100000)</f>
        <v>3204999.9999999995</v>
      </c>
      <c r="B359">
        <f t="shared" si="15"/>
        <v>6.5058280338548364</v>
      </c>
      <c r="E359" s="2">
        <v>1492080</v>
      </c>
      <c r="F359">
        <f t="shared" si="16"/>
        <v>6.1737921090797618</v>
      </c>
      <c r="H359">
        <v>2275809.9999999995</v>
      </c>
      <c r="I359">
        <f t="shared" si="17"/>
        <v>6.3571360013979188</v>
      </c>
    </row>
    <row r="360" spans="1:9" x14ac:dyDescent="0.4">
      <c r="A360" s="2">
        <f>32.42*(100000)</f>
        <v>3242000</v>
      </c>
      <c r="B360">
        <f t="shared" si="15"/>
        <v>6.5108130105124964</v>
      </c>
      <c r="E360" s="2">
        <v>1100930</v>
      </c>
      <c r="F360">
        <f t="shared" si="16"/>
        <v>6.0417597062740338</v>
      </c>
      <c r="H360">
        <v>2830777</v>
      </c>
      <c r="I360">
        <f t="shared" si="17"/>
        <v>6.4519056583145744</v>
      </c>
    </row>
    <row r="361" spans="1:9" x14ac:dyDescent="0.4">
      <c r="A361" s="2">
        <f>31.89*(100000)</f>
        <v>3189000</v>
      </c>
      <c r="B361">
        <f t="shared" si="15"/>
        <v>6.5036545192429589</v>
      </c>
      <c r="E361" s="2">
        <v>873599</v>
      </c>
      <c r="F361">
        <f t="shared" si="16"/>
        <v>5.9413121282284154</v>
      </c>
      <c r="H361">
        <v>3000343</v>
      </c>
      <c r="I361">
        <f t="shared" si="17"/>
        <v>6.4771709062170704</v>
      </c>
    </row>
    <row r="362" spans="1:9" x14ac:dyDescent="0.4">
      <c r="A362" s="2">
        <f>31.82*(100000)</f>
        <v>3182000</v>
      </c>
      <c r="B362">
        <f t="shared" si="15"/>
        <v>6.5027001753105624</v>
      </c>
      <c r="E362" s="2">
        <v>713518</v>
      </c>
      <c r="F362">
        <f t="shared" si="16"/>
        <v>5.8534049335853116</v>
      </c>
      <c r="H362">
        <v>3094061</v>
      </c>
      <c r="I362">
        <f t="shared" si="17"/>
        <v>6.4905288716459113</v>
      </c>
    </row>
    <row r="363" spans="1:9" x14ac:dyDescent="0.4">
      <c r="A363" s="2">
        <f>31.68*(100000)</f>
        <v>3168000</v>
      </c>
      <c r="B363">
        <f t="shared" si="15"/>
        <v>6.5007851729174559</v>
      </c>
      <c r="E363" s="2">
        <v>586592</v>
      </c>
      <c r="F363">
        <f t="shared" si="16"/>
        <v>5.7683361357336116</v>
      </c>
      <c r="H363">
        <v>3126260.8</v>
      </c>
      <c r="I363">
        <f t="shared" si="17"/>
        <v>6.4950252050575683</v>
      </c>
    </row>
    <row r="364" spans="1:9" x14ac:dyDescent="0.4">
      <c r="A364" s="2">
        <f>31.84*(100000)</f>
        <v>3184000</v>
      </c>
      <c r="B364">
        <f t="shared" si="15"/>
        <v>6.5029730590656314</v>
      </c>
      <c r="E364" s="2">
        <v>482267</v>
      </c>
      <c r="F364">
        <f t="shared" si="16"/>
        <v>5.683287545545709</v>
      </c>
      <c r="H364">
        <v>3163953</v>
      </c>
      <c r="I364">
        <f t="shared" si="17"/>
        <v>6.5002300235006532</v>
      </c>
    </row>
    <row r="365" spans="1:9" x14ac:dyDescent="0.4">
      <c r="A365" s="2">
        <f>32.97*(100000)</f>
        <v>3297000</v>
      </c>
      <c r="B365">
        <f t="shared" si="15"/>
        <v>6.5181189471431527</v>
      </c>
      <c r="E365" s="2">
        <v>396364</v>
      </c>
      <c r="F365">
        <f t="shared" si="16"/>
        <v>5.5980942025454823</v>
      </c>
      <c r="H365">
        <v>3287298.57</v>
      </c>
      <c r="I365">
        <f t="shared" si="17"/>
        <v>6.5168391508156507</v>
      </c>
    </row>
    <row r="366" spans="1:9" x14ac:dyDescent="0.4">
      <c r="A366" s="2">
        <f>32.71*(100000)</f>
        <v>3271000</v>
      </c>
      <c r="B366">
        <f t="shared" si="15"/>
        <v>6.5146805441249818</v>
      </c>
      <c r="E366" s="2">
        <v>327036</v>
      </c>
      <c r="F366">
        <f t="shared" si="16"/>
        <v>5.5145955622651526</v>
      </c>
      <c r="H366">
        <v>3266282.77</v>
      </c>
      <c r="I366">
        <f t="shared" si="17"/>
        <v>6.5140537799520004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1F61-8B39-4956-BA46-667B7EA03091}">
  <dimension ref="A1"/>
  <sheetViews>
    <sheetView workbookViewId="0">
      <selection activeCell="G28" sqref="G28"/>
    </sheetView>
  </sheetViews>
  <sheetFormatPr defaultRowHeight="18.75" x14ac:dyDescent="0.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大山 剛弘</dc:creator>
  <cp:lastModifiedBy>大山 剛弘</cp:lastModifiedBy>
  <dcterms:created xsi:type="dcterms:W3CDTF">2025-11-19T05:29:27Z</dcterms:created>
  <dcterms:modified xsi:type="dcterms:W3CDTF">2025-11-26T07:32:16Z</dcterms:modified>
</cp:coreProperties>
</file>